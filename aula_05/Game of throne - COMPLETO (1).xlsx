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3C0\EXCELCNV\a284d408-0d1d-4f82-ab75-65efa3096d8e\"/>
    </mc:Choice>
  </mc:AlternateContent>
  <xr:revisionPtr revIDLastSave="0" documentId="8_{64570C66-8AAC-4BE3-948E-D76D56C3C6D6}" xr6:coauthVersionLast="47" xr6:coauthVersionMax="47" xr10:uidLastSave="{00000000-0000-0000-0000-000000000000}"/>
  <bookViews>
    <workbookView xWindow="-60" yWindow="-60" windowWidth="15480" windowHeight="11640" firstSheet="1" activeTab="1" xr2:uid="{FC639419-0E35-48C6-B7F9-C3B8A467F757}"/>
  </bookViews>
  <sheets>
    <sheet name="DADOS BRUTOS" sheetId="2" r:id="rId1"/>
    <sheet name="DADOS TRATADOS" sheetId="1" r:id="rId2"/>
    <sheet name="REGISTROS" sheetId="3" r:id="rId3"/>
    <sheet name="GRÁFICO" sheetId="4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7" i="1"/>
  <c r="L38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9" i="1"/>
  <c r="L60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6" i="1"/>
  <c r="L97" i="1"/>
  <c r="L98" i="1"/>
  <c r="L99" i="1"/>
  <c r="L101" i="1"/>
  <c r="L103" i="1"/>
  <c r="L104" i="1"/>
  <c r="L105" i="1"/>
  <c r="L106" i="1"/>
  <c r="L107" i="1"/>
  <c r="L108" i="1"/>
  <c r="L109" i="1"/>
  <c r="L110" i="1"/>
  <c r="L112" i="1"/>
  <c r="L113" i="1"/>
  <c r="L114" i="1"/>
  <c r="L115" i="1"/>
  <c r="L116" i="1"/>
  <c r="L117" i="1"/>
  <c r="L118" i="1"/>
  <c r="L119" i="1"/>
  <c r="L121" i="1"/>
  <c r="L122" i="1"/>
  <c r="L123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2" i="1"/>
  <c r="L203" i="1"/>
  <c r="L204" i="1"/>
  <c r="L205" i="1"/>
  <c r="L206" i="1"/>
  <c r="L207" i="1"/>
  <c r="L208" i="1"/>
  <c r="L209" i="1"/>
  <c r="L210" i="1"/>
  <c r="L212" i="1"/>
  <c r="L213" i="1"/>
  <c r="L214" i="1"/>
  <c r="L215" i="1"/>
  <c r="L216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4" i="1"/>
  <c r="L235" i="1"/>
  <c r="L236" i="1"/>
  <c r="L237" i="1"/>
  <c r="L238" i="1"/>
  <c r="L239" i="1"/>
  <c r="L240" i="1"/>
  <c r="L241" i="1"/>
  <c r="L242" i="1"/>
  <c r="L243" i="1"/>
  <c r="L244" i="1"/>
  <c r="L246" i="1"/>
  <c r="L247" i="1"/>
  <c r="L248" i="1"/>
  <c r="L249" i="1"/>
  <c r="L250" i="1"/>
  <c r="L251" i="1"/>
  <c r="L252" i="1"/>
  <c r="L253" i="1"/>
  <c r="L254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4" i="1"/>
  <c r="L326" i="1"/>
  <c r="L327" i="1"/>
  <c r="L328" i="1"/>
  <c r="L329" i="1"/>
  <c r="L330" i="1"/>
  <c r="L331" i="1"/>
  <c r="L333" i="1"/>
  <c r="L334" i="1"/>
  <c r="L335" i="1"/>
  <c r="L336" i="1"/>
  <c r="L337" i="1"/>
  <c r="L338" i="1"/>
  <c r="L339" i="1"/>
  <c r="L340" i="1"/>
  <c r="L341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1" i="1"/>
  <c r="L362" i="1"/>
  <c r="L363" i="1"/>
  <c r="L364" i="1"/>
  <c r="L365" i="1"/>
  <c r="L366" i="1"/>
  <c r="L367" i="1"/>
  <c r="L368" i="1"/>
  <c r="L369" i="1"/>
  <c r="L370" i="1"/>
  <c r="D30" i="1"/>
  <c r="D365" i="1"/>
  <c r="D351" i="1"/>
  <c r="D346" i="1"/>
  <c r="D340" i="1"/>
  <c r="D284" i="1"/>
  <c r="D273" i="1"/>
  <c r="D220" i="1"/>
  <c r="D211" i="1"/>
  <c r="D204" i="1"/>
  <c r="D197" i="1"/>
  <c r="D192" i="1"/>
  <c r="D141" i="1"/>
  <c r="D125" i="1"/>
  <c r="D97" i="1"/>
  <c r="D80" i="1"/>
  <c r="D78" i="1"/>
  <c r="D60" i="1"/>
  <c r="D35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<sst xmlns="http://schemas.openxmlformats.org/spreadsheetml/2006/main" count="4922" uniqueCount="838">
  <si>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</si>
  <si>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</si>
  <si>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</si>
  <si>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</si>
  <si>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</si>
  <si>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</si>
  <si>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</si>
  <si>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</si>
  <si>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</si>
  <si>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</si>
  <si>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</si>
  <si>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</si>
  <si>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</si>
  <si>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Ativo</t>
  </si>
  <si>
    <t>Ellaria Baelish</t>
  </si>
  <si>
    <t>000.000.336-00</t>
  </si>
  <si>
    <t>Ninho da Águia</t>
  </si>
  <si>
    <t>Vale</t>
  </si>
  <si>
    <t>Sim</t>
  </si>
  <si>
    <t>Inativo</t>
  </si>
  <si>
    <t>Stannis Lannister</t>
  </si>
  <si>
    <t>Ponta Tempestade</t>
  </si>
  <si>
    <t>Terras da Tempestade</t>
  </si>
  <si>
    <t>11000 moedas</t>
  </si>
  <si>
    <t>Asha Hornwood</t>
  </si>
  <si>
    <t>000.000.363-00</t>
  </si>
  <si>
    <t>Pedra do Dragão</t>
  </si>
  <si>
    <t>Terras da Coroa</t>
  </si>
  <si>
    <t>21500 moedas</t>
  </si>
  <si>
    <t>N/A</t>
  </si>
  <si>
    <t>não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</si>
  <si>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</si>
  <si>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</si>
  <si>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</si>
  <si>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</si>
  <si>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</si>
  <si>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</si>
  <si>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</si>
  <si>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Não</t>
  </si>
  <si>
    <t>Olenna Baelish</t>
  </si>
  <si>
    <t>000.000.191-00</t>
  </si>
  <si>
    <t>Lannisporto</t>
  </si>
  <si>
    <t>3500 moedas</t>
  </si>
  <si>
    <t>ATIVO</t>
  </si>
  <si>
    <t>Brienne Manderly</t>
  </si>
  <si>
    <t>000.000.076-00</t>
  </si>
  <si>
    <t>Oeste</t>
  </si>
  <si>
    <t>8600 moedas</t>
  </si>
  <si>
    <t>yara targaryen</t>
  </si>
  <si>
    <t>000.000.059-00</t>
  </si>
  <si>
    <t>Pyke</t>
  </si>
  <si>
    <t>Ilhas De Ferro</t>
  </si>
  <si>
    <t>18200 moedas</t>
  </si>
  <si>
    <t>31000 moedas</t>
  </si>
  <si>
    <t>Margaery Tarly</t>
  </si>
  <si>
    <t>000.000.274-00</t>
  </si>
  <si>
    <t>ilhas de ferro</t>
  </si>
  <si>
    <t>Viserys Seaworth</t>
  </si>
  <si>
    <t>000.000.024-00</t>
  </si>
  <si>
    <t>Meereen</t>
  </si>
  <si>
    <t>Essos</t>
  </si>
  <si>
    <t>23000 moedas</t>
  </si>
  <si>
    <t>Tormund  Cerwyn</t>
  </si>
  <si>
    <t>000.000.039-00</t>
  </si>
  <si>
    <t>catelyn westerling</t>
  </si>
  <si>
    <t>Braavos</t>
  </si>
  <si>
    <t>19500 moedas</t>
  </si>
  <si>
    <t>Robb Baratheon</t>
  </si>
  <si>
    <t>000.000.365-00</t>
  </si>
  <si>
    <t>Asha Tallhart</t>
  </si>
  <si>
    <t>Ilhas de Ferro</t>
  </si>
  <si>
    <t>17600 moedas</t>
  </si>
  <si>
    <t>Missandei Tarly</t>
  </si>
  <si>
    <t>TERRAS DA TEMPESTADE</t>
  </si>
  <si>
    <t>Jeor Mallister</t>
  </si>
  <si>
    <t>000.000.162-00</t>
  </si>
  <si>
    <t>Correrrio</t>
  </si>
  <si>
    <t>Terras Fluviais</t>
  </si>
  <si>
    <t>Eddard Crakehall</t>
  </si>
  <si>
    <t>Castelo Negro</t>
  </si>
  <si>
    <t>Norte</t>
  </si>
  <si>
    <t>5500 moedas</t>
  </si>
  <si>
    <t>Podrick Swyft</t>
  </si>
  <si>
    <t>000.000.090-00</t>
  </si>
  <si>
    <t>TERRAS FLUVIAIS</t>
  </si>
  <si>
    <t>Podrick Dayne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</si>
  <si>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</si>
  <si>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</si>
  <si>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</si>
  <si>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</si>
  <si>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</si>
  <si>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</si>
  <si>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</si>
  <si>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NORTE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</si>
  <si>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</si>
  <si>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</si>
  <si>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</si>
  <si>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</si>
  <si>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</si>
  <si>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</si>
  <si>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</si>
  <si>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</si>
  <si>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</si>
  <si>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TERRAS DA COROA</t>
  </si>
  <si>
    <t>1 batalhas</t>
  </si>
  <si>
    <t>Loras Clegane</t>
  </si>
  <si>
    <t>000.000.287-00</t>
  </si>
  <si>
    <t>Harrenhal</t>
  </si>
  <si>
    <t>Winterfell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</si>
  <si>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</si>
  <si>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</si>
  <si>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</si>
  <si>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</si>
  <si>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</si>
  <si>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</si>
  <si>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</si>
  <si>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</si>
  <si>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</si>
  <si>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</si>
  <si>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</si>
  <si>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</si>
  <si>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</si>
  <si>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</si>
  <si>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</si>
  <si>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</si>
  <si>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</si>
  <si>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</si>
  <si>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</si>
  <si>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</si>
  <si>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</si>
  <si>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</si>
  <si>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</si>
  <si>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</si>
  <si>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</si>
  <si>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</si>
  <si>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</si>
  <si>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</si>
  <si>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23400 moedas</t>
  </si>
  <si>
    <t>MEERA PAYNE</t>
  </si>
  <si>
    <t>000.000.131-00</t>
  </si>
  <si>
    <t>DORNE</t>
  </si>
  <si>
    <t>MELISANDRE BARATHEON</t>
  </si>
  <si>
    <t>000.000.364-00</t>
  </si>
  <si>
    <t>27 batalhas</t>
  </si>
  <si>
    <t>Podrick Targaryen</t>
  </si>
  <si>
    <t>000.000.050-00</t>
  </si>
  <si>
    <t>29900 moedas</t>
  </si>
  <si>
    <t>Margaery Manderly</t>
  </si>
  <si>
    <t>000.000.222-00</t>
  </si>
  <si>
    <t>Daenerys Seaworth</t>
  </si>
  <si>
    <t>000.000.341-00</t>
  </si>
  <si>
    <t>CAMPINA</t>
  </si>
  <si>
    <t>000.000.140-00</t>
  </si>
  <si>
    <t>Fosso Cailin | Norte</t>
  </si>
  <si>
    <t>Jorah Redwyne</t>
  </si>
  <si>
    <t>Monte Chifre</t>
  </si>
  <si>
    <t>campina</t>
  </si>
  <si>
    <t>Margaery  Hornwood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</si>
  <si>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</si>
  <si>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</si>
  <si>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</si>
  <si>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</si>
  <si>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</si>
  <si>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</si>
  <si>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</si>
  <si>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</si>
  <si>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23500 moedas</t>
  </si>
  <si>
    <t>Rickon Redwyne</t>
  </si>
  <si>
    <t>Tormund Karstark</t>
  </si>
  <si>
    <t>000.000.284-00</t>
  </si>
  <si>
    <t>Bran Dayne</t>
  </si>
  <si>
    <t>000.000.288-00</t>
  </si>
  <si>
    <t>4500 moedas</t>
  </si>
  <si>
    <t>000.000.294-00</t>
  </si>
  <si>
    <t>Aegon Frey</t>
  </si>
  <si>
    <t>000.000.338-00</t>
  </si>
  <si>
    <t>11100 moedas</t>
  </si>
  <si>
    <t>Daenerys Snow</t>
  </si>
  <si>
    <t>Dorne | Dorne</t>
  </si>
  <si>
    <t>Asha Baratheon</t>
  </si>
  <si>
    <t>000.000.195-00</t>
  </si>
  <si>
    <t>Rickon Crakehall</t>
  </si>
  <si>
    <t>000.000.066-00</t>
  </si>
  <si>
    <t>Atalaia da Água Cinzenta</t>
  </si>
  <si>
    <t>gargalo</t>
  </si>
  <si>
    <t>NÃO</t>
  </si>
  <si>
    <t>Eddard Mallister</t>
  </si>
  <si>
    <t>000.000.309-00</t>
  </si>
  <si>
    <t>GARGALO</t>
  </si>
  <si>
    <t>Daario Clegane</t>
  </si>
  <si>
    <t>000.000.270-00</t>
  </si>
  <si>
    <t>38 batalhas</t>
  </si>
  <si>
    <t>Ellaria Mallister</t>
  </si>
  <si>
    <t>000.000.194-00</t>
  </si>
  <si>
    <t>Stannis  Cerwyn</t>
  </si>
  <si>
    <t>ELLARIA TARLY</t>
  </si>
  <si>
    <t>000.000.026-00</t>
  </si>
  <si>
    <t>ESSOS</t>
  </si>
  <si>
    <t>ativo</t>
  </si>
  <si>
    <t>Daario Tyrell</t>
  </si>
  <si>
    <t>000.000.251-00</t>
  </si>
  <si>
    <t>Daario Marbrand</t>
  </si>
  <si>
    <t>000.000.014-00</t>
  </si>
  <si>
    <t>46 anos</t>
  </si>
  <si>
    <t>Thoros Tarth</t>
  </si>
  <si>
    <t>ILHAS DE FERRO</t>
  </si>
  <si>
    <t>Arya Marbrand</t>
  </si>
  <si>
    <t>000.000.133-00</t>
  </si>
  <si>
    <t>Davos Tyrell</t>
  </si>
  <si>
    <t>28 batalhas</t>
  </si>
  <si>
    <t>Lyanna Florent</t>
  </si>
  <si>
    <t>Varys Bolton</t>
  </si>
  <si>
    <t>Shae Seaworth</t>
  </si>
  <si>
    <t>000.000.030-00</t>
  </si>
  <si>
    <t>essos</t>
  </si>
  <si>
    <t>Jojen Reed</t>
  </si>
  <si>
    <t>000.000.136-00</t>
  </si>
  <si>
    <t>20000 moedas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</si>
  <si>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</si>
  <si>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</si>
  <si>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</si>
  <si>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</si>
  <si>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</si>
  <si>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</si>
  <si>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</si>
  <si>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</si>
  <si>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</si>
  <si>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</si>
  <si>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</si>
  <si>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</si>
  <si>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</si>
  <si>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</si>
  <si>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</si>
  <si>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</si>
  <si>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22000 moedas</t>
  </si>
  <si>
    <t>Ramsay Dondarrion</t>
  </si>
  <si>
    <t>000.000.054-00</t>
  </si>
  <si>
    <t>dorne</t>
  </si>
  <si>
    <t>Thoros  Baelish</t>
  </si>
  <si>
    <t>000.000.011-00</t>
  </si>
  <si>
    <t>Melisandre Blackwood</t>
  </si>
  <si>
    <t>000.000.051-00</t>
  </si>
  <si>
    <t>Yara Baelish</t>
  </si>
  <si>
    <t>Solar do Entardecer</t>
  </si>
  <si>
    <t>Terras Da Tempestade</t>
  </si>
  <si>
    <t>Cersei Stark</t>
  </si>
  <si>
    <t>000.000.293-00</t>
  </si>
  <si>
    <t>Jon  Karstark</t>
  </si>
  <si>
    <t>000.000.139-00</t>
  </si>
  <si>
    <t>55 anos</t>
  </si>
  <si>
    <t>70500 moedas</t>
  </si>
  <si>
    <t>Yara Royce</t>
  </si>
  <si>
    <t>Jeor Lannister</t>
  </si>
  <si>
    <t>000.000.091-00</t>
  </si>
  <si>
    <t>10 batalhas</t>
  </si>
  <si>
    <t>bran florent</t>
  </si>
  <si>
    <t>000.000.218-00</t>
  </si>
  <si>
    <t>Jojen Redwyne</t>
  </si>
  <si>
    <t>000.000.334-00</t>
  </si>
  <si>
    <t>24 anos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</si>
  <si>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</si>
  <si>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</si>
  <si>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</si>
  <si>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</si>
  <si>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</si>
  <si>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</si>
  <si>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</si>
  <si>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</si>
  <si>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</si>
  <si>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</si>
  <si>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</si>
  <si>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</si>
  <si>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</si>
  <si>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</si>
  <si>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</si>
  <si>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</si>
  <si>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</si>
  <si>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</si>
  <si>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</si>
  <si>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</si>
  <si>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28800 moedas</t>
  </si>
  <si>
    <t>Stannis Redwyne</t>
  </si>
  <si>
    <t>000.000.216-00</t>
  </si>
  <si>
    <t>Jardim de Cima | Campina</t>
  </si>
  <si>
    <t>3 batalhas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</si>
  <si>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</si>
  <si>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</si>
  <si>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</si>
  <si>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</si>
  <si>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</si>
  <si>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</si>
  <si>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</si>
  <si>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</si>
  <si>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</si>
  <si>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terras fluviais</t>
  </si>
  <si>
    <t>loras payne</t>
  </si>
  <si>
    <t>000.000.027-00</t>
  </si>
  <si>
    <t>Missandei  Tarly</t>
  </si>
  <si>
    <t>000.000.196-00</t>
  </si>
  <si>
    <t>24 batalhas</t>
  </si>
  <si>
    <t>Aegon Baelish</t>
  </si>
  <si>
    <t>Meereen | Essos</t>
  </si>
  <si>
    <t>MELISANDRE TARGARYEN</t>
  </si>
  <si>
    <t>000.000.170-00</t>
  </si>
  <si>
    <t>loqueado</t>
  </si>
  <si>
    <t>Roose Cerwyn</t>
  </si>
  <si>
    <t>000.000.047-00</t>
  </si>
  <si>
    <t>Shae Frey</t>
  </si>
  <si>
    <t>61500 moedas</t>
  </si>
  <si>
    <t>Lyanna Swyft</t>
  </si>
  <si>
    <t>Rhaegar Targaryen</t>
  </si>
  <si>
    <t>000.000.342-00</t>
  </si>
  <si>
    <t>31 batalhas</t>
  </si>
  <si>
    <t>Varys Targaryen</t>
  </si>
  <si>
    <t>000.000.234-00</t>
  </si>
  <si>
    <t>Robb Stark</t>
  </si>
  <si>
    <t>000.000.228-00</t>
  </si>
  <si>
    <t>Gendry Hightower</t>
  </si>
  <si>
    <t>000.000.167-00</t>
  </si>
  <si>
    <t>Harrenhal | Terras Fluviais</t>
  </si>
  <si>
    <t>tormund glover</t>
  </si>
  <si>
    <t>000.000.087-00</t>
  </si>
  <si>
    <t>Tyrion Snow</t>
  </si>
  <si>
    <t>Beric  Umber</t>
  </si>
  <si>
    <t>Varys Florent</t>
  </si>
  <si>
    <t>Catelyn Umber</t>
  </si>
  <si>
    <t>Samwell Glover</t>
  </si>
  <si>
    <t>Thoros Clegane</t>
  </si>
  <si>
    <t>000.000.141-00</t>
  </si>
  <si>
    <t>THEON BARATHEON</t>
  </si>
  <si>
    <t>000.000.375-00</t>
  </si>
  <si>
    <t>22900 moedas</t>
  </si>
  <si>
    <t>SIM</t>
  </si>
  <si>
    <t>Melisandre  Baelish</t>
  </si>
  <si>
    <t>000.000.152-00</t>
  </si>
  <si>
    <t>25100 moedas</t>
  </si>
  <si>
    <t>Robert Yronwood</t>
  </si>
  <si>
    <t>000.000.075-00</t>
  </si>
  <si>
    <t>Meera Reed</t>
  </si>
  <si>
    <t>000.000.314-00</t>
  </si>
  <si>
    <t>tormund royce</t>
  </si>
  <si>
    <t>000.000.297-00</t>
  </si>
  <si>
    <t>Tyrion Karstark</t>
  </si>
  <si>
    <t>OESTE</t>
  </si>
  <si>
    <t>Missandei Florent</t>
  </si>
  <si>
    <t>000.000.282-00</t>
  </si>
  <si>
    <t>Varys  Stark</t>
  </si>
  <si>
    <t>Jeor Karstark</t>
  </si>
  <si>
    <t>000.000.310-00</t>
  </si>
  <si>
    <t>RENLY MORMONT</t>
  </si>
  <si>
    <t>000.000.376-00</t>
  </si>
  <si>
    <t>19 batalhas</t>
  </si>
  <si>
    <t>Eddard Royce</t>
  </si>
  <si>
    <t>000.000.181-00</t>
  </si>
  <si>
    <t>Terras Da Coroa</t>
  </si>
  <si>
    <t>16000 moedas</t>
  </si>
  <si>
    <t>Rhaegar Lannister</t>
  </si>
  <si>
    <t>Varys Blackwood</t>
  </si>
  <si>
    <t>000.000.373-00</t>
  </si>
  <si>
    <t>EDDARD WESTERLING</t>
  </si>
  <si>
    <t>000.000.094-00</t>
  </si>
  <si>
    <t>Varys  Blackwood</t>
  </si>
  <si>
    <t>41 batalhas</t>
  </si>
  <si>
    <t>Olenna Bracken</t>
  </si>
  <si>
    <t>000.000.225-00</t>
  </si>
  <si>
    <t>Aegon Marbrand</t>
  </si>
  <si>
    <t>Beric Tyrell</t>
  </si>
  <si>
    <t>000.000.242-00</t>
  </si>
  <si>
    <t>Asha Manderly</t>
  </si>
  <si>
    <t>000.000.357-00</t>
  </si>
  <si>
    <t>Ellaria Mormont</t>
  </si>
  <si>
    <t>000.000.157-00</t>
  </si>
  <si>
    <t>29 batalhas</t>
  </si>
  <si>
    <t>Grey Worm Baratheon</t>
  </si>
  <si>
    <t>000.000.221-00</t>
  </si>
  <si>
    <t>Ellaria Swyft</t>
  </si>
  <si>
    <t>000.000.115-00</t>
  </si>
  <si>
    <t>VALE</t>
  </si>
  <si>
    <t>Grey  Worm  Greyjoy</t>
  </si>
  <si>
    <t>000.000.182-00</t>
  </si>
  <si>
    <t>Jeor  Payne</t>
  </si>
  <si>
    <t>Bronn Royce</t>
  </si>
  <si>
    <t>Robert Hornwood</t>
  </si>
  <si>
    <t>000.000.259-00</t>
  </si>
  <si>
    <t>inativo</t>
  </si>
  <si>
    <t>Asha Bolton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</si>
  <si>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</si>
  <si>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</si>
  <si>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</si>
  <si>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</si>
  <si>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</si>
  <si>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</si>
  <si>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</si>
  <si>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Ramsay Stark</t>
  </si>
  <si>
    <t>000.000.169-00</t>
  </si>
  <si>
    <t>Thoros Karstark</t>
  </si>
  <si>
    <t>000.000.012-00</t>
  </si>
  <si>
    <t>Gargalo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</si>
  <si>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</si>
  <si>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</si>
  <si>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</si>
  <si>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</si>
  <si>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</si>
  <si>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</si>
  <si>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</si>
  <si>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42000 moedas</t>
  </si>
  <si>
    <t>SANDOR WESTERLING</t>
  </si>
  <si>
    <t>30 batalhas</t>
  </si>
  <si>
    <t>Gilly Frey</t>
  </si>
  <si>
    <t>000.000.258-00</t>
  </si>
  <si>
    <t>Loras Bracken</t>
  </si>
  <si>
    <t>000.000.254-00</t>
  </si>
  <si>
    <t>Atalaia da Água Cinzenta | Gargalo</t>
  </si>
  <si>
    <t>17500 moedas</t>
  </si>
  <si>
    <t>Varys Tallhart</t>
  </si>
  <si>
    <t>Roose Bracken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</si>
  <si>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</si>
  <si>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</si>
  <si>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</si>
  <si>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</si>
  <si>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</si>
  <si>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</si>
  <si>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</si>
  <si>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</si>
  <si>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</si>
  <si>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</si>
  <si>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</si>
  <si>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</si>
  <si>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</si>
  <si>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</si>
  <si>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</si>
  <si>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</si>
  <si>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</si>
  <si>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</si>
  <si>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</si>
  <si>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</si>
  <si>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</si>
  <si>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</si>
  <si>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26800 moedas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</si>
  <si>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</si>
  <si>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</si>
  <si>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</si>
  <si>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</si>
  <si>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</si>
  <si>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</si>
  <si>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</si>
  <si>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</si>
  <si>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20100 moedas</t>
  </si>
  <si>
    <t>Lyanna Stark</t>
  </si>
  <si>
    <t>000.000.023-00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</si>
  <si>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</si>
  <si>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</si>
  <si>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</si>
  <si>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</si>
  <si>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</si>
  <si>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</si>
  <si>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</si>
  <si>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</si>
  <si>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</si>
  <si>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INATIVO</t>
  </si>
  <si>
    <t>Daario Cerwyn</t>
  </si>
  <si>
    <t>Catelyn Tarly</t>
  </si>
  <si>
    <t>27 anos</t>
  </si>
  <si>
    <t>Rickon Lannister</t>
  </si>
  <si>
    <t>000.000.197-00</t>
  </si>
  <si>
    <t>40 batalhas</t>
  </si>
  <si>
    <t>Jorah Marbrand</t>
  </si>
  <si>
    <t>000.000.168-00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</si>
  <si>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</si>
  <si>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</si>
  <si>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</si>
  <si>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</si>
  <si>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</si>
  <si>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</si>
  <si>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</si>
  <si>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</si>
  <si>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</si>
  <si>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</si>
  <si>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</si>
  <si>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</si>
  <si>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000.000.006-00</t>
  </si>
  <si>
    <t>Correrrio | Terras Fluviais</t>
  </si>
  <si>
    <t>theon tarth</t>
  </si>
  <si>
    <t>000.000.289-00</t>
  </si>
  <si>
    <t>Stannis Seaworth</t>
  </si>
  <si>
    <t>000.000.316-00</t>
  </si>
  <si>
    <t>Grey Worm Dondarrion</t>
  </si>
  <si>
    <t>Olenna Arryn</t>
  </si>
  <si>
    <t>Tyrion Tyrell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</si>
  <si>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</si>
  <si>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</si>
  <si>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</si>
  <si>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</si>
  <si>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</si>
  <si>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</si>
  <si>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</si>
  <si>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</si>
  <si>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</si>
  <si>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</si>
  <si>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</si>
  <si>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</si>
  <si>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</si>
  <si>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</si>
  <si>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</si>
  <si>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</si>
  <si>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</si>
  <si>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</si>
  <si>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</si>
  <si>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</si>
  <si>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</si>
  <si>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</si>
  <si>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Shae Mormont</t>
  </si>
  <si>
    <t>000.000.114-00</t>
  </si>
  <si>
    <t>renly bolton</t>
  </si>
  <si>
    <t>000.000.303-00</t>
  </si>
  <si>
    <t>Grey Worm Hornwood</t>
  </si>
  <si>
    <t>000.000.322-00</t>
  </si>
  <si>
    <t>52000 moedas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</si>
  <si>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</si>
  <si>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</si>
  <si>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</si>
  <si>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</si>
  <si>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</si>
  <si>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</si>
  <si>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</si>
  <si>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</si>
  <si>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</si>
  <si>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45500 moedas</t>
  </si>
  <si>
    <t>Sandor Westerling</t>
  </si>
  <si>
    <t>000.000.008-00</t>
  </si>
  <si>
    <t>Petyr Snow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</si>
  <si>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</si>
  <si>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</si>
  <si>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</si>
  <si>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</si>
  <si>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</si>
  <si>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</si>
  <si>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</si>
  <si>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</si>
  <si>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Melisandre Baratheon</t>
  </si>
  <si>
    <t>000.000.020-00</t>
  </si>
  <si>
    <t>Yara Tallhart</t>
  </si>
  <si>
    <t>Gilly Mormont</t>
  </si>
  <si>
    <t>000.000.220-00</t>
  </si>
  <si>
    <t>Brienne Dondarrion</t>
  </si>
  <si>
    <t>000.000.256-00</t>
  </si>
  <si>
    <t>Missandei Glover</t>
  </si>
  <si>
    <t>Bronn Manderly</t>
  </si>
  <si>
    <t>000.000.074-00</t>
  </si>
  <si>
    <t>Aegon Florent</t>
  </si>
  <si>
    <t>Daario  Dayne</t>
  </si>
  <si>
    <t>000.000.144-00</t>
  </si>
  <si>
    <t>32 anos</t>
  </si>
  <si>
    <t>Roose Dondarrion</t>
  </si>
  <si>
    <t>000.000.126-00</t>
  </si>
  <si>
    <t>Stannis Greyjoy</t>
  </si>
  <si>
    <t>000.000.236-00</t>
  </si>
  <si>
    <t>Thoros Greyjoy</t>
  </si>
  <si>
    <t>000.000.043-00</t>
  </si>
  <si>
    <t>60000 moedas</t>
  </si>
  <si>
    <t>Thoros Crakehall</t>
  </si>
  <si>
    <t>Viserys  Umber</t>
  </si>
  <si>
    <t>000.000.155-00</t>
  </si>
  <si>
    <t>18000 moedas</t>
  </si>
  <si>
    <t>Cersei Greyjoy</t>
  </si>
  <si>
    <t>000.000.265-00</t>
  </si>
  <si>
    <t>21300 moedas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</si>
  <si>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</si>
  <si>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</si>
  <si>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</si>
  <si>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</si>
  <si>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</si>
  <si>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</si>
  <si>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</si>
  <si>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</si>
  <si>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</si>
  <si>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</si>
  <si>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</si>
  <si>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</si>
  <si>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</si>
  <si>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</si>
  <si>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</si>
  <si>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</si>
  <si>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</si>
  <si>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</si>
  <si>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000.000.007-00</t>
  </si>
  <si>
    <t>Eddard Payne</t>
  </si>
  <si>
    <t>9200 moedas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</si>
  <si>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</si>
  <si>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</si>
  <si>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</si>
  <si>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</si>
  <si>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</si>
  <si>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</si>
  <si>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</si>
  <si>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</si>
  <si>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</si>
  <si>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</si>
  <si>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</si>
  <si>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</si>
  <si>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</si>
  <si>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</si>
  <si>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</si>
  <si>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</si>
  <si>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</si>
  <si>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</si>
  <si>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</si>
  <si>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</si>
  <si>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</si>
  <si>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</si>
  <si>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</si>
  <si>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</si>
  <si>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</si>
  <si>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</si>
  <si>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Davos  Baratheon</t>
  </si>
  <si>
    <t>000.000.055-00</t>
  </si>
  <si>
    <t>Bronn Crakehall</t>
  </si>
  <si>
    <t>3600 moedas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</si>
  <si>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</si>
  <si>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</si>
  <si>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</si>
  <si>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</si>
  <si>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</si>
  <si>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</si>
  <si>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</si>
  <si>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</si>
  <si>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</si>
  <si>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</si>
  <si>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</si>
  <si>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</si>
  <si>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</si>
  <si>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</si>
  <si>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</si>
  <si>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</si>
  <si>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29700 moedas</t>
  </si>
  <si>
    <t>Lyanna Tarly</t>
  </si>
  <si>
    <t>000.000.232-00</t>
  </si>
  <si>
    <t>Cersei Tarth</t>
  </si>
  <si>
    <t>000.000.147-00</t>
  </si>
  <si>
    <t>74000 moedas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</si>
  <si>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</si>
  <si>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</si>
  <si>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</si>
  <si>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</si>
  <si>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</si>
  <si>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</si>
  <si>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</si>
  <si>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</si>
  <si>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</si>
  <si>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</si>
  <si>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</si>
  <si>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</si>
  <si>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</si>
  <si>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000.000.104-00</t>
  </si>
  <si>
    <t>Davos Umber</t>
  </si>
  <si>
    <t>000.000.353-00</t>
  </si>
  <si>
    <t>6 batalhas</t>
  </si>
  <si>
    <t>Aegon Redwyne</t>
  </si>
  <si>
    <t>000.000.347-00</t>
  </si>
  <si>
    <t>Robert Mallister</t>
  </si>
  <si>
    <t>MARGAERY DONDARRION</t>
  </si>
  <si>
    <t>41 anos</t>
  </si>
  <si>
    <t>Roose Bolton</t>
  </si>
  <si>
    <t>Jon Hornwood</t>
  </si>
  <si>
    <t>Shae  Dayne</t>
  </si>
  <si>
    <t>000.000.312-00</t>
  </si>
  <si>
    <t>Petyr Swyft</t>
  </si>
  <si>
    <t>000.000.275-00</t>
  </si>
  <si>
    <t>Jaime Bracken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</si>
  <si>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</si>
  <si>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</si>
  <si>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</si>
  <si>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</si>
  <si>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</si>
  <si>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</si>
  <si>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</si>
  <si>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</si>
  <si>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</si>
  <si>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</si>
  <si>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</si>
  <si>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</si>
  <si>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4000 moedas</t>
  </si>
  <si>
    <t>Lyanna Westerling</t>
  </si>
  <si>
    <t>000.000.004-00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</si>
  <si>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</si>
  <si>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</si>
  <si>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</si>
  <si>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</si>
  <si>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</si>
  <si>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</si>
  <si>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</si>
  <si>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</si>
  <si>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</si>
  <si>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7 batalhas</t>
  </si>
  <si>
    <t>Loras Lannister</t>
  </si>
  <si>
    <t>000.000.302-00</t>
  </si>
  <si>
    <t>000.000.103-00</t>
  </si>
  <si>
    <t>Catelyn  Dayne</t>
  </si>
  <si>
    <t>000.000.213-00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</si>
  <si>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</si>
  <si>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</si>
  <si>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</si>
  <si>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</si>
  <si>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</si>
  <si>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</si>
  <si>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</si>
  <si>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</si>
  <si>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>000.000.010-00</t>
  </si>
  <si>
    <t>80000 moedas</t>
  </si>
  <si>
    <t>48500 moedas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</si>
  <si>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</si>
  <si>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</si>
  <si>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</si>
  <si>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</si>
  <si>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</si>
  <si>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</si>
  <si>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</si>
  <si>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</si>
  <si>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</si>
  <si>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</si>
  <si>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000.000.120-00</t>
  </si>
  <si>
    <t>6400 moedas</t>
  </si>
  <si>
    <t>Thoros  Frey</t>
  </si>
  <si>
    <t>000.000.113-00</t>
  </si>
  <si>
    <t>Gilly Glover</t>
  </si>
  <si>
    <t>Robb Reed</t>
  </si>
  <si>
    <t>000.000.246-00</t>
  </si>
  <si>
    <t>Petyr Mallister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</si>
  <si>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</si>
  <si>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</si>
  <si>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</si>
  <si>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</si>
  <si>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</si>
  <si>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</si>
  <si>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</si>
  <si>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</si>
  <si>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</si>
  <si>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</si>
  <si>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</si>
  <si>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</si>
  <si>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</si>
  <si>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</si>
  <si>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</si>
  <si>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</si>
  <si>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</si>
  <si>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</si>
  <si>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</si>
  <si>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</si>
  <si>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</si>
  <si>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</si>
  <si>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</si>
  <si>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</si>
  <si>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</si>
  <si>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</si>
  <si>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</si>
  <si>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</si>
  <si>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</si>
  <si>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</si>
  <si>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Eddard Dayne</t>
  </si>
  <si>
    <t>000.000.280-00</t>
  </si>
  <si>
    <t>29500 moedas</t>
  </si>
  <si>
    <t>Renly Bolton</t>
  </si>
  <si>
    <t>Rhaegar Payne</t>
  </si>
  <si>
    <t>000.000.253-00</t>
  </si>
  <si>
    <t>Bronn Dondarrion</t>
  </si>
  <si>
    <t>000.000.036-00</t>
  </si>
  <si>
    <t>AUDITORIA DE WESTEROS</t>
  </si>
  <si>
    <t>flag_inadimplente2</t>
  </si>
  <si>
    <t>-</t>
  </si>
  <si>
    <t>Alto</t>
  </si>
  <si>
    <t>Médio</t>
  </si>
  <si>
    <t>Baixo</t>
  </si>
  <si>
    <t>COLUNA ANALISADA</t>
  </si>
  <si>
    <t>PROBLEA ENCONTRADO</t>
  </si>
  <si>
    <t>EXEMPLO ENCONTRADO</t>
  </si>
  <si>
    <t>TIPO DE PROBLEMA</t>
  </si>
  <si>
    <t>AÇÃO REALIZADA</t>
  </si>
  <si>
    <t>RESULTADO ESPERADO</t>
  </si>
  <si>
    <t>SITUAÇÃO</t>
  </si>
  <si>
    <t>STATUS</t>
  </si>
  <si>
    <t>Várias escritas diferentes</t>
  </si>
  <si>
    <t>Ativo, Ativoo, ATIVO</t>
  </si>
  <si>
    <t>Padronização</t>
  </si>
  <si>
    <t>Localizar e substituir</t>
  </si>
  <si>
    <t>Padronizção da coluna</t>
  </si>
  <si>
    <t>OK!</t>
  </si>
  <si>
    <t>CPF</t>
  </si>
  <si>
    <t>CPF's incompletos</t>
  </si>
  <si>
    <t>36100, 8600, 35800</t>
  </si>
  <si>
    <t>Dados incompletos</t>
  </si>
  <si>
    <t xml:space="preserve"> =SE(NÚM.CARACT(SUBSTITUIR(SUBSTITUIR(SUBSTITUIR("CELULA";".";"");"-";"");" ";""))=11;"CELULA";"-")</t>
  </si>
  <si>
    <t>Somente 11 dígitos, "-" para incompleos</t>
  </si>
  <si>
    <t>IDADE</t>
  </si>
  <si>
    <t>Células vazias</t>
  </si>
  <si>
    <t>celulas vazias</t>
  </si>
  <si>
    <t>Idade não colocada</t>
  </si>
  <si>
    <t xml:space="preserve"> =INT((HOJE()-E30)/365)</t>
  </si>
  <si>
    <t>idade calculada usando data de nasc.</t>
  </si>
  <si>
    <t>DATA DE NASC.</t>
  </si>
  <si>
    <t>Números não formatados</t>
  </si>
  <si>
    <t>Formatação</t>
  </si>
  <si>
    <t>Formato do número trocado para Data Abreviada</t>
  </si>
  <si>
    <t>Data no padrão xx/xx/xxxx</t>
  </si>
  <si>
    <t>CIDADE</t>
  </si>
  <si>
    <t>Dados acumulados</t>
  </si>
  <si>
    <t>Informações excedentes apagadas</t>
  </si>
  <si>
    <t>Somente cidade na coluna cidade</t>
  </si>
  <si>
    <t>REGIÃO</t>
  </si>
  <si>
    <t>Células vazias e formatação</t>
  </si>
  <si>
    <t>TERRAS DA COROA, terras da coroa</t>
  </si>
  <si>
    <t>Regiões formatadas para o padrão e células vazias preenchidas com a região correta</t>
  </si>
  <si>
    <t>RENDA MENSAL</t>
  </si>
  <si>
    <t>191 moedas, células vazias, 121</t>
  </si>
  <si>
    <t>Formato do número trocado para Contabil (reais)</t>
  </si>
  <si>
    <t>CREDITO TOM.</t>
  </si>
  <si>
    <t>celulas vazias, moedas, 76500</t>
  </si>
  <si>
    <t>Formatado para contabil, celulas vazias preenchidas com "-"</t>
  </si>
  <si>
    <t>INADIMPLENTE</t>
  </si>
  <si>
    <t>NÃO, não, 0, 1</t>
  </si>
  <si>
    <t>Utilizado localizar e substituir, "não" trocado para "xxx" e substituido por "Não", 0 e 1 interpretados como binários</t>
  </si>
  <si>
    <t>Padronização da coluna</t>
  </si>
  <si>
    <t>QTDE_batalhas</t>
  </si>
  <si>
    <t>Qtde não informada</t>
  </si>
  <si>
    <t>Preencher células vazias</t>
  </si>
  <si>
    <t>NIVEL_RISCO</t>
  </si>
  <si>
    <t>xxxxxx</t>
  </si>
  <si>
    <t>Risco não informado</t>
  </si>
  <si>
    <t xml:space="preserve"> =SE(OU(J3="Sim";M3="Sim";I3/H3&gt;=2;N3/H3&gt;=5);"Alto";SE(OU(I3/H3&gt;=1;N3/H3&gt;=3;K3&gt;=30);"Médio";"Baixo"))</t>
  </si>
  <si>
    <t>Risco calculado e coluna preenchida</t>
  </si>
  <si>
    <t>VALOR_SOLICITADO</t>
  </si>
  <si>
    <t>Número no padrão R$</t>
  </si>
  <si>
    <t>NOME</t>
  </si>
  <si>
    <t>Escrita não padronizada</t>
  </si>
  <si>
    <t>BRONN ARRYN, Jeor Florent</t>
  </si>
  <si>
    <t xml:space="preserve"> =PRI.MAIUSCULA(célula)</t>
  </si>
  <si>
    <t>Nomes somente com a primeira letra maiuscula</t>
  </si>
  <si>
    <t>REGIAO</t>
  </si>
  <si>
    <t>REMUNERAÇÃO MENSAL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</si>
</sst>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</font>
    <font>
      <u/>
      <sz val="12"/>
      <color theme="1"/>
      <name val="Arial"/>
    </font>
    <font>
      <sz val="12"/>
      <color rgb="FF000000"/>
      <name val="Arial"/>
      <charset val="1"/>
    </font>
    <font>
      <b/>
      <u/>
      <sz val="12"/>
      <color theme="0"/>
      <name val="Arial"/>
    </font>
    <font>
      <sz val="11"/>
      <color rgb="FF000000"/>
      <name val="Calibri"/>
      <charset val="1"/>
    </font>
    <font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44" fontId="18" fillId="0" borderId="0" xfId="0" applyNumberFormat="1" applyFont="1" applyAlignment="1">
      <alignment horizontal="center"/>
    </xf>
    <xf numFmtId="44" fontId="0" fillId="0" borderId="0" xfId="0" applyNumberFormat="1"/>
    <xf numFmtId="0" fontId="18" fillId="0" borderId="0" xfId="0" applyNumberFormat="1" applyFont="1" applyAlignment="1">
      <alignment horizontal="center"/>
    </xf>
    <xf numFmtId="0" fontId="20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33" borderId="0" xfId="0" applyFill="1"/>
    <xf numFmtId="44" fontId="0" fillId="0" borderId="0" xfId="0" applyNumberFormat="1" applyAlignment="1">
      <alignment horizontal="right"/>
    </xf>
    <xf numFmtId="8" fontId="0" fillId="0" borderId="0" xfId="0" applyNumberFormat="1"/>
    <xf numFmtId="3" fontId="0" fillId="0" borderId="0" xfId="0" applyNumberFormat="1"/>
    <xf numFmtId="0" fontId="0" fillId="35" borderId="0" xfId="0" applyFill="1"/>
    <xf numFmtId="0" fontId="0" fillId="35" borderId="0" xfId="0" applyFill="1" applyAlignment="1">
      <alignment horizontal="center"/>
    </xf>
    <xf numFmtId="0" fontId="22" fillId="35" borderId="0" xfId="0" quotePrefix="1" applyFont="1" applyFill="1"/>
    <xf numFmtId="0" fontId="22" fillId="35" borderId="0" xfId="0" applyFont="1" applyFill="1" applyAlignment="1">
      <alignment horizontal="center"/>
    </xf>
    <xf numFmtId="0" fontId="13" fillId="34" borderId="0" xfId="0" applyFont="1" applyFill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49" fontId="0" fillId="0" borderId="0" xfId="0" applyNumberFormat="1"/>
    <xf numFmtId="49" fontId="0" fillId="33" borderId="0" xfId="0" applyNumberFormat="1" applyFill="1"/>
    <xf numFmtId="49" fontId="18" fillId="0" borderId="0" xfId="0" applyNumberFormat="1" applyFont="1" applyAlignment="1"/>
    <xf numFmtId="0" fontId="18" fillId="0" borderId="0" xfId="0" applyFont="1" applyAlignment="1"/>
    <xf numFmtId="0" fontId="19" fillId="0" borderId="0" xfId="0" applyNumberFormat="1" applyFont="1" applyAlignment="1"/>
    <xf numFmtId="164" fontId="18" fillId="0" borderId="0" xfId="0" applyNumberFormat="1" applyFont="1" applyAlignment="1"/>
    <xf numFmtId="0" fontId="18" fillId="0" borderId="0" xfId="0" applyNumberFormat="1" applyFont="1" applyAlignment="1"/>
    <xf numFmtId="0" fontId="20" fillId="0" borderId="0" xfId="0" applyFont="1" applyAlignment="1"/>
    <xf numFmtId="44" fontId="19" fillId="0" borderId="0" xfId="0" applyNumberFormat="1" applyFont="1" applyAlignment="1">
      <alignment horizontal="center"/>
    </xf>
    <xf numFmtId="44" fontId="19" fillId="0" borderId="0" xfId="0" applyNumberFormat="1" applyFont="1" applyAlignment="1">
      <alignment horizontal="right"/>
    </xf>
    <xf numFmtId="0" fontId="24" fillId="34" borderId="0" xfId="0" applyFont="1" applyFill="1"/>
    <xf numFmtId="0" fontId="23" fillId="35" borderId="0" xfId="0" applyFont="1" applyFill="1"/>
    <xf numFmtId="0" fontId="23" fillId="35" borderId="0" xfId="0" applyFont="1" applyFill="1" applyAlignment="1">
      <alignment horizontal="center"/>
    </xf>
    <xf numFmtId="0" fontId="0" fillId="0" borderId="0" xfId="0" applyFont="1"/>
    <xf numFmtId="0" fontId="21" fillId="33" borderId="0" xfId="0" applyFont="1" applyFill="1" applyAlignment="1">
      <alignment horizontal="center"/>
    </xf>
    <xf numFmtId="0" fontId="21" fillId="33" borderId="0" xfId="0" applyFont="1" applyFill="1" applyAlignment="1"/>
    <xf numFmtId="44" fontId="21" fillId="33" borderId="0" xfId="0" applyNumberFormat="1" applyFont="1" applyFill="1" applyAlignment="1">
      <alignment horizontal="center"/>
    </xf>
    <xf numFmtId="0" fontId="21" fillId="33" borderId="0" xfId="0" applyFont="1" applyFill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7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center"/>
    </dxf>
    <dxf>
      <fill>
        <patternFill patternType="solid">
          <fgColor indexed="64"/>
          <bgColor theme="5" tint="0.79998168889431442"/>
        </patternFill>
      </fill>
    </dxf>
    <dxf>
      <font>
        <b/>
        <color theme="0"/>
      </font>
      <fill>
        <patternFill patternType="solid">
          <fgColor indexed="64"/>
          <bgColor theme="5" tint="0.39997558519241921"/>
        </patternFill>
      </fill>
    </dxf>
    <dxf>
      <font>
        <color theme="9" tint="-0.249977111117893"/>
      </font>
      <fill>
        <patternFill patternType="solid">
          <bgColor theme="9" tint="0.79998168889431442"/>
        </patternFill>
      </fill>
    </dxf>
    <dxf>
      <font>
        <sz val="12"/>
        <name val="Arial"/>
      </font>
      <numFmt numFmtId="164" formatCode="&quot;R$&quot;\ #,##0.00"/>
      <alignment horizontal="general"/>
    </dxf>
    <dxf>
      <font>
        <sz val="12"/>
        <name val="Arial"/>
      </font>
      <numFmt numFmtId="30" formatCode="@"/>
      <alignment horizontal="center"/>
    </dxf>
    <dxf>
      <font>
        <sz val="12"/>
        <name val="Arial"/>
      </font>
      <numFmt numFmtId="0" formatCode="General"/>
      <alignment horizontal="general"/>
    </dxf>
    <dxf>
      <font>
        <sz val="12"/>
        <name val="Arial"/>
      </font>
      <alignment horizontal="center"/>
    </dxf>
    <dxf>
      <font>
        <sz val="12"/>
        <name val="Arial"/>
      </font>
      <numFmt numFmtId="30" formatCode="@"/>
      <alignment horizontal="center"/>
    </dxf>
    <dxf>
      <font>
        <sz val="12"/>
        <name val="Arial"/>
      </font>
      <numFmt numFmtId="34" formatCode="_-&quot;R$&quot;\ * #,##0.00_-;\-&quot;R$&quot;\ * #,##0.00_-;_-&quot;R$&quot;\ * &quot;-&quot;??_-;_-@_-"/>
      <alignment horizontal="center"/>
    </dxf>
    <dxf>
      <font>
        <sz val="12"/>
        <name val="Arial"/>
      </font>
      <numFmt numFmtId="34" formatCode="_-&quot;R$&quot;\ * #,##0.00_-;\-&quot;R$&quot;\ * #,##0.00_-;_-&quot;R$&quot;\ * &quot;-&quot;??_-;_-@_-"/>
      <alignment horizontal="center"/>
    </dxf>
    <dxf>
      <font>
        <sz val="12"/>
        <name val="Arial"/>
      </font>
      <alignment horizontal="general"/>
    </dxf>
    <dxf>
      <font>
        <sz val="12"/>
        <name val="Arial"/>
      </font>
      <alignment horizontal="general"/>
    </dxf>
    <dxf>
      <font>
        <sz val="12"/>
        <name val="Arial"/>
      </font>
      <numFmt numFmtId="19" formatCode="dd/mm/yyyy"/>
      <alignment horizontal="center"/>
    </dxf>
    <dxf>
      <font>
        <sz val="12"/>
        <name val="Arial"/>
      </font>
      <alignment horizontal="center"/>
    </dxf>
    <dxf>
      <font>
        <sz val="12"/>
        <name val="Arial"/>
      </font>
      <numFmt numFmtId="0" formatCode="General"/>
      <alignment horizontal="general"/>
    </dxf>
    <dxf>
      <font>
        <sz val="12"/>
        <name val="Arial"/>
        <scheme val="none"/>
      </font>
      <alignment horizontal="general"/>
    </dxf>
    <dxf>
      <font>
        <sz val="12"/>
        <name val="Arial"/>
      </font>
      <alignment horizontal="general"/>
    </dxf>
    <dxf>
      <font>
        <sz val="12"/>
        <name val="Arial"/>
      </font>
      <alignment horizontal="general"/>
    </dxf>
    <dxf>
      <font>
        <sz val="12"/>
        <name val="Arial"/>
      </font>
      <alignment horizontal="center"/>
    </dxf>
    <dxf>
      <font>
        <b/>
        <i val="0"/>
        <color theme="9"/>
      </font>
    </dxf>
    <dxf>
      <font>
        <b/>
        <i val="0"/>
        <color theme="7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B7FF00"/>
      <color rgb="FFFF00C8"/>
      <color rgb="FF005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GRÁFICO!$B$1</c:f>
              <c:strCache>
                <c:ptCount val="1"/>
                <c:pt idx="0">
                  <c:v>REMUNERAÇÃO MENSAL MEDIA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C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2D1-409D-9F5F-E20E0AE1F02E}"/>
              </c:ext>
            </c:extLst>
          </c:dPt>
          <c:dPt>
            <c:idx val="2"/>
            <c:invertIfNegative val="0"/>
            <c:bubble3D val="0"/>
            <c:spPr>
              <a:solidFill>
                <a:srgbClr val="0055F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D1-409D-9F5F-E20E0AE1F0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2D1-409D-9F5F-E20E0AE1F02E}"/>
              </c:ext>
            </c:extLst>
          </c:dPt>
          <c:dPt>
            <c:idx val="4"/>
            <c:invertIfNegative val="0"/>
            <c:bubble3D val="0"/>
            <c:spPr>
              <a:solidFill>
                <a:srgbClr val="0D0D0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D1-409D-9F5F-E20E0AE1F02E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2D1-409D-9F5F-E20E0AE1F0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D1-409D-9F5F-E20E0AE1F02E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2D1-409D-9F5F-E20E0AE1F02E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D1-409D-9F5F-E20E0AE1F02E}"/>
              </c:ext>
            </c:extLst>
          </c:dPt>
          <c:dPt>
            <c:idx val="9"/>
            <c:invertIfNegative val="0"/>
            <c:bubble3D val="0"/>
            <c:spPr>
              <a:solidFill>
                <a:srgbClr val="4472C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D1-409D-9F5F-E20E0AE1F02E}"/>
              </c:ext>
            </c:extLst>
          </c:dPt>
          <c:dPt>
            <c:idx val="10"/>
            <c:invertIfNegative val="0"/>
            <c:bubble3D val="0"/>
            <c:spPr>
              <a:solidFill>
                <a:srgbClr val="B7FF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D1-409D-9F5F-E20E0AE1F02E}"/>
              </c:ext>
            </c:extLst>
          </c:dPt>
          <c:cat>
            <c:strRef>
              <c:f>GRÁFICO!$A$2:$A$12</c:f>
              <c:strCache>
                <c:ptCount val="11"/>
                <c:pt idx="0">
                  <c:v>CAMPINA</c:v>
                </c:pt>
                <c:pt idx="1">
                  <c:v>DORNE</c:v>
                </c:pt>
                <c:pt idx="2">
                  <c:v>ESSOS</c:v>
                </c:pt>
                <c:pt idx="3">
                  <c:v>GARGALO</c:v>
                </c:pt>
                <c:pt idx="4">
                  <c:v>ILHAS DE FERRO</c:v>
                </c:pt>
                <c:pt idx="5">
                  <c:v>NORTE</c:v>
                </c:pt>
                <c:pt idx="6">
                  <c:v>OESTE</c:v>
                </c:pt>
                <c:pt idx="7">
                  <c:v>TERRAS DA COROA</c:v>
                </c:pt>
                <c:pt idx="8">
                  <c:v>TERRAS DA TEMPESTADE</c:v>
                </c:pt>
                <c:pt idx="9">
                  <c:v>TERRAS FLUVIAIS</c:v>
                </c:pt>
                <c:pt idx="10">
                  <c:v>VALE</c:v>
                </c:pt>
              </c:strCache>
            </c:strRef>
          </c:cat>
          <c:val>
            <c:numRef>
              <c:f>GRÁFICO!$B$2:$B$12</c:f>
              <c:numCache>
                <c:formatCode>_("R$"* #,##0.00_);_("R$"* \(#,##0.00\);_("R$"* "-"??_);_(@_)</c:formatCode>
                <c:ptCount val="11"/>
                <c:pt idx="0">
                  <c:v>16022</c:v>
                </c:pt>
                <c:pt idx="1">
                  <c:v>17580</c:v>
                </c:pt>
                <c:pt idx="2">
                  <c:v>17284</c:v>
                </c:pt>
                <c:pt idx="3">
                  <c:v>12180</c:v>
                </c:pt>
                <c:pt idx="4">
                  <c:v>15507</c:v>
                </c:pt>
                <c:pt idx="5">
                  <c:v>16669</c:v>
                </c:pt>
                <c:pt idx="6">
                  <c:v>15842</c:v>
                </c:pt>
                <c:pt idx="7">
                  <c:v>15000</c:v>
                </c:pt>
                <c:pt idx="8">
                  <c:v>16872</c:v>
                </c:pt>
                <c:pt idx="9">
                  <c:v>14835</c:v>
                </c:pt>
                <c:pt idx="10">
                  <c:v>17494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1-409D-9F5F-E20E0AE1F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2104329223"/>
        <c:axId val="2104348167"/>
      </c:barChart>
      <c:catAx>
        <c:axId val="2104329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4348167"/>
        <c:crosses val="autoZero"/>
        <c:auto val="1"/>
        <c:lblAlgn val="ctr"/>
        <c:lblOffset val="100"/>
        <c:noMultiLvlLbl val="0"/>
      </c:catAx>
      <c:valAx>
        <c:axId val="2104348167"/>
        <c:scaling>
          <c:orientation val="minMax"/>
          <c:max val="2000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&quot;R$&quot;* #,##0.00_);_(&quot;R$&quot;* \(#,##0.00\);_(&quot;R$&quot;* &quot;-&quot;??_);_(@_)" sourceLinked="1"/>
        <c:majorTickMark val="out"/>
        <c:minorTickMark val="cross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4329223"/>
        <c:crosses val="autoZero"/>
        <c:crossBetween val="between"/>
        <c:majorUnit val="10000"/>
        <c:minorUnit val="5000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solidFill>
            <a:srgbClr val="C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257175</xdr:colOff>
      <xdr:row>15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B624E2A-D89A-875D-BE98-2C1752DB9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7DC67-CFDE-4BF6-A438-CB3925364FBE}" name="Tabela1" displayName="Tabela1" ref="A2:N370" totalsRowShown="0" headerRowDxfId="23" dataDxfId="22">
  <autoFilter ref="A2:N370" xr:uid="{E817DC67-CFDE-4BF6-A438-CB3925364FBE}"/>
  <sortState xmlns:xlrd2="http://schemas.microsoft.com/office/spreadsheetml/2017/richdata2" ref="A3:N370">
    <sortCondition descending="1" ref="N2:N370"/>
  </sortState>
  <tableColumns count="14">
    <tableColumn id="1" xr3:uid="{1F189C8E-39B5-42F2-B9F1-9D612F2F6E72}" name="status" dataDxfId="21"/>
    <tableColumn id="2" xr3:uid="{1BA4A211-1AFA-410E-997F-D8FAD17FDD3E}" name="nome" dataDxfId="20">
      <calculatedColumnFormula>PROPER(Tabela1[[#This Row],[nome]])</calculatedColumnFormula>
    </tableColumn>
    <tableColumn id="3" xr3:uid="{8B9F4EE3-A598-4754-93A1-48A6DE332AF7}" name="cpf" dataDxfId="19"/>
    <tableColumn id="4" xr3:uid="{253AAB44-1AB2-4A7E-85DE-2DB32338A45C}" name="idade" dataDxfId="18"/>
    <tableColumn id="5" xr3:uid="{D8D95206-8233-4E75-B1A1-271E860C1795}" name="data_nascimento" dataDxfId="17"/>
    <tableColumn id="6" xr3:uid="{AEBA7EEF-8B67-43C0-90E6-59F13D322AE2}" name="cidade" dataDxfId="16"/>
    <tableColumn id="7" xr3:uid="{56916078-CF08-4771-A807-BFEF1E5826D1}" name="regiao" dataDxfId="15"/>
    <tableColumn id="8" xr3:uid="{9DA13508-590B-41D5-AA57-D0FABCAEDB15}" name="renda_mensal" dataDxfId="14"/>
    <tableColumn id="9" xr3:uid="{44F032A4-092A-4FBE-BFB9-7FF5300693F0}" name="credito_tomado" dataDxfId="13"/>
    <tableColumn id="10" xr3:uid="{34A0B27A-B188-4306-AEAB-44FB35B14DC6}" name="flag_inadimplente" dataDxfId="12"/>
    <tableColumn id="11" xr3:uid="{A6243735-E018-47DD-AF49-0E6045F1FCF3}" name="qtde_batalhas" dataDxfId="11"/>
    <tableColumn id="12" xr3:uid="{5E6A8EB2-0BA0-4278-A43F-7ADE3A63571B}" name="nivel_risco" dataDxfId="10">
      <calculatedColumnFormula>IF(OR(J3="Sim",M3="Sim",I3/H3&gt;=2,N3/H3&gt;=5),"Alto",IF(OR(I3/H3&gt;=1,N3/H3&gt;=3,K3&gt;=30),"Médio","Baixo"))</calculatedColumnFormula>
    </tableColumn>
    <tableColumn id="13" xr3:uid="{9D99687E-AE7A-483C-8F50-5EDBABD18C50}" name="flag_inadimplente2" dataDxfId="9"/>
    <tableColumn id="14" xr3:uid="{F93AE623-A4B8-4404-8077-7542DA9A9475}" name="valor_solicitado" dataDxfId="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209996-FC1B-475D-97B6-459B1196D30A}" name="Tabela3" displayName="Tabela3" ref="A1:G14" totalsRowShown="0">
  <autoFilter ref="A1:G14" xr:uid="{AC209996-FC1B-475D-97B6-459B1196D30A}"/>
  <tableColumns count="7">
    <tableColumn id="1" xr3:uid="{C7D4BFF9-ADED-4AE0-8E28-BB79D5B4405E}" name="COLUNA ANALISADA" dataDxfId="6"/>
    <tableColumn id="2" xr3:uid="{BA1970F7-1388-474D-B340-3A05E4213550}" name="PROBLEA ENCONTRADO" dataDxfId="5"/>
    <tableColumn id="3" xr3:uid="{61FFFCAF-6D87-4B09-950E-B306E42AD55D}" name="EXEMPLO ENCONTRADO" dataDxfId="4"/>
    <tableColumn id="4" xr3:uid="{737FDA02-D00E-4528-9AF7-AD446D1E6836}" name="TIPO DE PROBLEMA" dataDxfId="3"/>
    <tableColumn id="5" xr3:uid="{E922A7C6-2F3E-492E-87E4-49FA8F0F2CFD}" name="AÇÃO REALIZADA" dataDxfId="2"/>
    <tableColumn id="6" xr3:uid="{52765C73-3E38-48A9-ABE4-21D3FF2EEA21}" name="RESULTADO ESPERADO" dataDxfId="1"/>
    <tableColumn id="7" xr3:uid="{E51E8A5C-D85E-4885-B472-70DCC7EB346E}" name="SITUAÇÃ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10B5-0667-47AD-8F6C-30D1F5F11725}">
  <dimension ref="A1:N369"/>
  <sheetViews>
    <sheetView topLeftCell="E25" workbookViewId="0">
      <selection activeCell="G26" sqref="G26"/>
    </sheetView>
  </sheetViews>
  <sheetFormatPr defaultRowHeight="15"/>
  <cols>
    <col min="1" max="1" width="9.42578125" bestFit="1" customWidth="1"/>
    <col min="2" max="2" width="24.5703125" bestFit="1" customWidth="1"/>
    <col min="3" max="3" width="15" bestFit="1" customWidth="1"/>
    <col min="4" max="4" width="7.85546875" bestFit="1" customWidth="1"/>
    <col min="5" max="5" width="16.42578125" bestFit="1" customWidth="1"/>
    <col min="6" max="6" width="31.85546875" bestFit="1" customWidth="1"/>
    <col min="7" max="7" width="23.42578125" bestFit="1" customWidth="1"/>
    <col min="8" max="8" width="14.140625" bestFit="1" customWidth="1"/>
    <col min="9" max="9" width="15.42578125" bestFit="1" customWidth="1"/>
    <col min="10" max="10" width="17.140625" bestFit="1" customWidth="1"/>
    <col min="11" max="11" width="13.7109375" bestFit="1" customWidth="1"/>
    <col min="12" max="12" width="10.42578125" bestFit="1" customWidth="1"/>
    <col min="13" max="13" width="17.140625" bestFit="1" customWidth="1"/>
    <col min="14" max="14" width="1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</v>
      </c>
      <c r="N1" t="s">
        <v>12</v>
      </c>
    </row>
    <row r="2" spans="1:14">
      <c r="A2" t="s">
        <v>13</v>
      </c>
      <c r="B2" t="s">
        <v>14</v>
      </c>
      <c r="C2" t="s">
        <v>15</v>
      </c>
      <c r="D2">
        <v>32</v>
      </c>
      <c r="E2" s="1">
        <v>34347</v>
      </c>
      <c r="F2" t="s">
        <v>16</v>
      </c>
      <c r="G2" t="s">
        <v>17</v>
      </c>
      <c r="H2">
        <v>15600</v>
      </c>
      <c r="I2">
        <v>0</v>
      </c>
      <c r="J2" t="s">
        <v>18</v>
      </c>
      <c r="K2">
        <v>34</v>
      </c>
      <c r="M2" t="s">
        <v>18</v>
      </c>
      <c r="N2">
        <v>16000</v>
      </c>
    </row>
    <row r="3" spans="1:14">
      <c r="A3" t="s">
        <v>19</v>
      </c>
      <c r="B3" t="s">
        <v>20</v>
      </c>
      <c r="C3">
        <v>36100</v>
      </c>
      <c r="D3">
        <v>24</v>
      </c>
      <c r="E3" s="1">
        <v>37313</v>
      </c>
      <c r="F3" t="s">
        <v>21</v>
      </c>
      <c r="G3" t="s">
        <v>22</v>
      </c>
      <c r="H3" t="s">
        <v>23</v>
      </c>
      <c r="I3">
        <v>76500</v>
      </c>
      <c r="J3" t="s">
        <v>18</v>
      </c>
      <c r="K3">
        <v>33</v>
      </c>
      <c r="M3" t="s">
        <v>18</v>
      </c>
      <c r="N3">
        <v>26000</v>
      </c>
    </row>
    <row r="4" spans="1:14">
      <c r="A4" t="s">
        <v>13</v>
      </c>
      <c r="B4" t="s">
        <v>24</v>
      </c>
      <c r="C4" t="s">
        <v>25</v>
      </c>
      <c r="D4">
        <v>33</v>
      </c>
      <c r="E4">
        <v>34144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>
        <v>22</v>
      </c>
      <c r="M4" t="s">
        <v>30</v>
      </c>
      <c r="N4">
        <v>51500</v>
      </c>
    </row>
    <row r="5" spans="1:14">
      <c r="A5" t="s">
        <v>13</v>
      </c>
      <c r="B5" t="s">
        <v>31</v>
      </c>
      <c r="C5" t="s">
        <v>32</v>
      </c>
      <c r="D5">
        <v>63</v>
      </c>
      <c r="E5">
        <v>23156</v>
      </c>
      <c r="F5" t="s">
        <v>33</v>
      </c>
      <c r="H5" t="s">
        <v>34</v>
      </c>
      <c r="I5">
        <v>8500</v>
      </c>
      <c r="J5" t="s">
        <v>30</v>
      </c>
      <c r="K5">
        <v>39</v>
      </c>
      <c r="M5" t="s">
        <v>30</v>
      </c>
      <c r="N5">
        <v>36500</v>
      </c>
    </row>
    <row r="6" spans="1:14">
      <c r="A6" t="s">
        <v>13</v>
      </c>
      <c r="B6" t="s">
        <v>35</v>
      </c>
      <c r="C6" t="s">
        <v>36</v>
      </c>
      <c r="D6">
        <v>32</v>
      </c>
      <c r="E6">
        <v>34299</v>
      </c>
      <c r="F6" t="s">
        <v>16</v>
      </c>
      <c r="G6" t="s">
        <v>37</v>
      </c>
      <c r="H6" s="14">
        <v>30000</v>
      </c>
      <c r="J6" t="s">
        <v>38</v>
      </c>
      <c r="K6">
        <v>5</v>
      </c>
      <c r="M6" t="s">
        <v>38</v>
      </c>
      <c r="N6">
        <v>65000</v>
      </c>
    </row>
    <row r="7" spans="1:14">
      <c r="A7" t="s">
        <v>13</v>
      </c>
      <c r="B7" t="s">
        <v>39</v>
      </c>
      <c r="C7" t="s">
        <v>40</v>
      </c>
      <c r="D7">
        <v>48</v>
      </c>
      <c r="E7">
        <v>28647</v>
      </c>
      <c r="F7" t="s">
        <v>41</v>
      </c>
      <c r="H7">
        <v>13200</v>
      </c>
      <c r="I7" t="s">
        <v>42</v>
      </c>
      <c r="J7" t="s">
        <v>38</v>
      </c>
      <c r="K7">
        <v>1</v>
      </c>
      <c r="M7" t="s">
        <v>38</v>
      </c>
      <c r="N7">
        <v>32500</v>
      </c>
    </row>
    <row r="8" spans="1:14">
      <c r="A8" t="s">
        <v>43</v>
      </c>
      <c r="B8" t="s">
        <v>44</v>
      </c>
      <c r="C8" t="s">
        <v>45</v>
      </c>
      <c r="D8">
        <v>28</v>
      </c>
      <c r="E8" s="1">
        <v>35830</v>
      </c>
      <c r="F8" t="s">
        <v>41</v>
      </c>
      <c r="G8" t="s">
        <v>46</v>
      </c>
      <c r="H8" t="s">
        <v>47</v>
      </c>
      <c r="I8" s="14">
        <v>19000</v>
      </c>
      <c r="J8" t="s">
        <v>18</v>
      </c>
      <c r="K8">
        <v>4</v>
      </c>
      <c r="M8" t="s">
        <v>18</v>
      </c>
      <c r="N8">
        <v>32500</v>
      </c>
    </row>
    <row r="9" spans="1:14">
      <c r="A9" t="s">
        <v>19</v>
      </c>
      <c r="B9" t="s">
        <v>48</v>
      </c>
      <c r="C9" t="s">
        <v>49</v>
      </c>
      <c r="D9">
        <v>42</v>
      </c>
      <c r="E9" s="1">
        <v>30810</v>
      </c>
      <c r="F9" t="s">
        <v>50</v>
      </c>
      <c r="G9" t="s">
        <v>51</v>
      </c>
      <c r="H9" t="s">
        <v>52</v>
      </c>
      <c r="I9" t="s">
        <v>53</v>
      </c>
      <c r="J9" t="s">
        <v>38</v>
      </c>
      <c r="K9">
        <v>19</v>
      </c>
      <c r="M9" t="s">
        <v>38</v>
      </c>
      <c r="N9">
        <v>63500</v>
      </c>
    </row>
    <row r="10" spans="1:14">
      <c r="A10" t="s">
        <v>13</v>
      </c>
      <c r="B10" t="s">
        <v>54</v>
      </c>
      <c r="C10" t="s">
        <v>55</v>
      </c>
      <c r="D10">
        <v>34</v>
      </c>
      <c r="E10" s="1">
        <v>33624</v>
      </c>
      <c r="F10" t="s">
        <v>50</v>
      </c>
      <c r="G10" t="s">
        <v>56</v>
      </c>
      <c r="H10">
        <v>8000</v>
      </c>
      <c r="I10" s="15">
        <v>14500</v>
      </c>
      <c r="J10" t="s">
        <v>18</v>
      </c>
      <c r="K10">
        <v>9</v>
      </c>
      <c r="M10" t="s">
        <v>18</v>
      </c>
      <c r="N10">
        <v>17500</v>
      </c>
    </row>
    <row r="11" spans="1:14">
      <c r="A11" t="s">
        <v>19</v>
      </c>
      <c r="B11" t="s">
        <v>57</v>
      </c>
      <c r="C11" t="s">
        <v>58</v>
      </c>
      <c r="D11">
        <v>61</v>
      </c>
      <c r="E11" s="1">
        <v>23667</v>
      </c>
      <c r="F11" t="s">
        <v>59</v>
      </c>
      <c r="G11" t="s">
        <v>60</v>
      </c>
      <c r="H11" t="s">
        <v>61</v>
      </c>
      <c r="I11">
        <v>44500</v>
      </c>
      <c r="J11" t="s">
        <v>18</v>
      </c>
      <c r="K11">
        <v>32</v>
      </c>
      <c r="M11" t="s">
        <v>18</v>
      </c>
      <c r="N11">
        <v>2000</v>
      </c>
    </row>
    <row r="12" spans="1:14">
      <c r="A12" t="s">
        <v>13</v>
      </c>
      <c r="B12" t="s">
        <v>62</v>
      </c>
      <c r="C12" t="s">
        <v>63</v>
      </c>
      <c r="D12">
        <v>33</v>
      </c>
      <c r="E12">
        <v>34147</v>
      </c>
      <c r="F12" t="s">
        <v>59</v>
      </c>
      <c r="G12" t="s">
        <v>60</v>
      </c>
      <c r="H12">
        <v>28700</v>
      </c>
      <c r="I12">
        <v>12500</v>
      </c>
      <c r="J12" t="s">
        <v>38</v>
      </c>
      <c r="K12">
        <v>41</v>
      </c>
      <c r="M12" t="s">
        <v>38</v>
      </c>
      <c r="N12">
        <v>99500</v>
      </c>
    </row>
    <row r="13" spans="1:14">
      <c r="A13" t="s">
        <v>13</v>
      </c>
      <c r="B13" t="s">
        <v>64</v>
      </c>
      <c r="C13">
        <v>35800</v>
      </c>
      <c r="D13">
        <v>70</v>
      </c>
      <c r="E13">
        <v>20515</v>
      </c>
      <c r="F13" t="s">
        <v>65</v>
      </c>
      <c r="G13" t="s">
        <v>60</v>
      </c>
      <c r="H13" t="s">
        <v>66</v>
      </c>
      <c r="I13">
        <v>62000</v>
      </c>
      <c r="J13" t="s">
        <v>18</v>
      </c>
      <c r="K13">
        <v>45</v>
      </c>
      <c r="M13" t="s">
        <v>18</v>
      </c>
      <c r="N13">
        <v>35500</v>
      </c>
    </row>
    <row r="14" spans="1:14">
      <c r="A14" t="s">
        <v>13</v>
      </c>
      <c r="B14" t="s">
        <v>67</v>
      </c>
      <c r="C14" t="s">
        <v>68</v>
      </c>
      <c r="D14">
        <v>54</v>
      </c>
      <c r="E14" s="1">
        <v>26382</v>
      </c>
      <c r="F14" t="s">
        <v>21</v>
      </c>
      <c r="G14" t="s">
        <v>22</v>
      </c>
      <c r="H14">
        <v>22100</v>
      </c>
      <c r="I14">
        <v>37000</v>
      </c>
      <c r="J14" t="s">
        <v>38</v>
      </c>
      <c r="K14">
        <v>34</v>
      </c>
      <c r="M14" t="s">
        <v>38</v>
      </c>
      <c r="N14">
        <v>87000</v>
      </c>
    </row>
    <row r="15" spans="1:14">
      <c r="A15" t="s">
        <v>13</v>
      </c>
      <c r="B15" t="s">
        <v>69</v>
      </c>
      <c r="C15">
        <v>8600</v>
      </c>
      <c r="E15">
        <v>32260</v>
      </c>
      <c r="F15" t="s">
        <v>50</v>
      </c>
      <c r="G15" t="s">
        <v>70</v>
      </c>
      <c r="H15" t="s">
        <v>71</v>
      </c>
      <c r="I15">
        <v>0</v>
      </c>
      <c r="J15" t="s">
        <v>18</v>
      </c>
      <c r="K15">
        <v>31</v>
      </c>
      <c r="M15" t="s">
        <v>18</v>
      </c>
      <c r="N15">
        <v>47500</v>
      </c>
    </row>
    <row r="16" spans="1:14">
      <c r="A16" t="s">
        <v>19</v>
      </c>
      <c r="B16" t="s">
        <v>72</v>
      </c>
      <c r="C16">
        <v>200</v>
      </c>
      <c r="D16">
        <v>55</v>
      </c>
      <c r="E16">
        <v>25892</v>
      </c>
      <c r="F16" t="s">
        <v>21</v>
      </c>
      <c r="G16" t="s">
        <v>73</v>
      </c>
      <c r="H16">
        <v>5300</v>
      </c>
      <c r="I16" s="15">
        <v>6500</v>
      </c>
      <c r="J16" t="s">
        <v>38</v>
      </c>
      <c r="K16">
        <v>42</v>
      </c>
      <c r="M16" t="s">
        <v>38</v>
      </c>
      <c r="N16">
        <v>96000</v>
      </c>
    </row>
    <row r="17" spans="1:14">
      <c r="A17" t="s">
        <v>19</v>
      </c>
      <c r="B17" t="s">
        <v>74</v>
      </c>
      <c r="C17" t="s">
        <v>75</v>
      </c>
      <c r="D17">
        <v>47</v>
      </c>
      <c r="E17">
        <v>29064</v>
      </c>
      <c r="F17" t="s">
        <v>76</v>
      </c>
      <c r="G17" t="s">
        <v>77</v>
      </c>
      <c r="H17">
        <v>13300</v>
      </c>
      <c r="I17">
        <v>1000</v>
      </c>
      <c r="J17" t="s">
        <v>18</v>
      </c>
      <c r="K17">
        <v>24</v>
      </c>
      <c r="M17" t="s">
        <v>18</v>
      </c>
      <c r="N17">
        <v>61500</v>
      </c>
    </row>
    <row r="18" spans="1:14">
      <c r="A18" t="s">
        <v>19</v>
      </c>
      <c r="B18" t="s">
        <v>78</v>
      </c>
      <c r="C18">
        <v>31800</v>
      </c>
      <c r="D18">
        <v>43</v>
      </c>
      <c r="E18">
        <v>30391</v>
      </c>
      <c r="F18" t="s">
        <v>79</v>
      </c>
      <c r="G18" t="s">
        <v>80</v>
      </c>
      <c r="H18">
        <v>7100</v>
      </c>
      <c r="I18" t="s">
        <v>81</v>
      </c>
      <c r="J18" t="s">
        <v>38</v>
      </c>
      <c r="K18">
        <v>23</v>
      </c>
      <c r="M18" t="s">
        <v>38</v>
      </c>
      <c r="N18">
        <v>67000</v>
      </c>
    </row>
    <row r="19" spans="1:14">
      <c r="A19" t="s">
        <v>13</v>
      </c>
      <c r="B19" t="s">
        <v>82</v>
      </c>
      <c r="C19" t="s">
        <v>83</v>
      </c>
      <c r="D19">
        <v>32</v>
      </c>
      <c r="E19" s="1">
        <v>34457</v>
      </c>
      <c r="F19" t="s">
        <v>76</v>
      </c>
      <c r="G19" t="s">
        <v>84</v>
      </c>
      <c r="H19" s="15">
        <v>21300</v>
      </c>
      <c r="I19" s="14">
        <v>48000</v>
      </c>
      <c r="J19" t="s">
        <v>38</v>
      </c>
      <c r="K19">
        <v>11</v>
      </c>
      <c r="M19" t="s">
        <v>38</v>
      </c>
      <c r="N19">
        <v>35000</v>
      </c>
    </row>
    <row r="20" spans="1:14">
      <c r="A20" t="s">
        <v>13</v>
      </c>
      <c r="B20" t="s">
        <v>85</v>
      </c>
      <c r="C20">
        <v>22300</v>
      </c>
      <c r="D20">
        <v>25</v>
      </c>
      <c r="E20" s="1">
        <v>36831</v>
      </c>
      <c r="F20" t="s">
        <v>86</v>
      </c>
      <c r="G20" t="s">
        <v>87</v>
      </c>
      <c r="H20" s="15">
        <v>9400</v>
      </c>
      <c r="I20">
        <v>51500</v>
      </c>
      <c r="J20" t="s">
        <v>38</v>
      </c>
      <c r="K20">
        <v>14</v>
      </c>
      <c r="M20" t="s">
        <v>38</v>
      </c>
      <c r="N20">
        <v>29500</v>
      </c>
    </row>
    <row r="21" spans="1:14">
      <c r="A21" t="s">
        <v>13</v>
      </c>
      <c r="B21" t="s">
        <v>88</v>
      </c>
      <c r="C21" t="s">
        <v>89</v>
      </c>
      <c r="D21">
        <v>23</v>
      </c>
      <c r="E21">
        <v>37627</v>
      </c>
      <c r="F21" t="s">
        <v>76</v>
      </c>
      <c r="G21" t="s">
        <v>84</v>
      </c>
      <c r="I21">
        <v>69000</v>
      </c>
      <c r="J21" t="s">
        <v>38</v>
      </c>
      <c r="K21">
        <v>20</v>
      </c>
      <c r="M21" t="s">
        <v>38</v>
      </c>
      <c r="N21">
        <v>69000</v>
      </c>
    </row>
    <row r="22" spans="1:14">
      <c r="A22" t="s">
        <v>19</v>
      </c>
      <c r="B22" t="s">
        <v>90</v>
      </c>
      <c r="C22" t="s">
        <v>91</v>
      </c>
      <c r="D22">
        <v>53</v>
      </c>
      <c r="E22" s="1">
        <v>26629</v>
      </c>
      <c r="F22" t="s">
        <v>92</v>
      </c>
      <c r="G22" t="s">
        <v>93</v>
      </c>
      <c r="H22" s="15">
        <v>16500</v>
      </c>
      <c r="I22" s="14">
        <v>4000</v>
      </c>
      <c r="J22" t="s">
        <v>38</v>
      </c>
      <c r="K22">
        <v>14</v>
      </c>
      <c r="M22" t="s">
        <v>38</v>
      </c>
      <c r="N22">
        <v>36000</v>
      </c>
    </row>
    <row r="23" spans="1:14">
      <c r="A23" t="s">
        <v>13</v>
      </c>
      <c r="B23" t="s">
        <v>94</v>
      </c>
      <c r="C23" t="s">
        <v>95</v>
      </c>
      <c r="E23">
        <v>21378</v>
      </c>
      <c r="F23" t="s">
        <v>59</v>
      </c>
      <c r="H23">
        <v>14300</v>
      </c>
      <c r="I23">
        <v>32500</v>
      </c>
      <c r="J23" t="s">
        <v>18</v>
      </c>
      <c r="K23">
        <v>15</v>
      </c>
      <c r="M23" t="s">
        <v>18</v>
      </c>
      <c r="N23">
        <v>8000</v>
      </c>
    </row>
    <row r="24" spans="1:14">
      <c r="A24" t="s">
        <v>19</v>
      </c>
      <c r="B24" t="s">
        <v>96</v>
      </c>
      <c r="C24" t="s">
        <v>97</v>
      </c>
      <c r="D24">
        <v>33</v>
      </c>
      <c r="E24" s="1">
        <v>34082</v>
      </c>
      <c r="F24" t="s">
        <v>59</v>
      </c>
      <c r="G24" t="s">
        <v>60</v>
      </c>
      <c r="H24">
        <v>23600</v>
      </c>
      <c r="I24" s="15">
        <v>75500</v>
      </c>
      <c r="J24" t="s">
        <v>38</v>
      </c>
      <c r="K24">
        <v>16</v>
      </c>
      <c r="M24" t="s">
        <v>38</v>
      </c>
      <c r="N24">
        <v>88000</v>
      </c>
    </row>
    <row r="25" spans="1:14">
      <c r="A25" t="s">
        <v>13</v>
      </c>
      <c r="B25" t="s">
        <v>98</v>
      </c>
      <c r="C25" t="s">
        <v>99</v>
      </c>
      <c r="D25">
        <v>68</v>
      </c>
      <c r="E25">
        <v>21145</v>
      </c>
      <c r="F25" t="s">
        <v>100</v>
      </c>
      <c r="G25" t="s">
        <v>80</v>
      </c>
      <c r="H25">
        <v>29000</v>
      </c>
      <c r="I25">
        <v>67500</v>
      </c>
      <c r="J25" t="s">
        <v>38</v>
      </c>
      <c r="K25">
        <v>25</v>
      </c>
      <c r="M25" t="s">
        <v>38</v>
      </c>
      <c r="N25">
        <v>18000</v>
      </c>
    </row>
    <row r="26" spans="1:14">
      <c r="A26" t="s">
        <v>19</v>
      </c>
      <c r="B26" t="s">
        <v>101</v>
      </c>
      <c r="C26" t="s">
        <v>102</v>
      </c>
      <c r="D26">
        <v>62</v>
      </c>
      <c r="E26" s="1">
        <v>23259</v>
      </c>
      <c r="F26" t="s">
        <v>26</v>
      </c>
      <c r="G26" s="37" t="s">
        <v>103</v>
      </c>
      <c r="I26">
        <v>0</v>
      </c>
      <c r="J26" t="s">
        <v>18</v>
      </c>
      <c r="K26" t="s">
        <v>104</v>
      </c>
      <c r="M26" t="s">
        <v>18</v>
      </c>
      <c r="N26">
        <v>12000</v>
      </c>
    </row>
    <row r="27" spans="1:14">
      <c r="A27" t="s">
        <v>13</v>
      </c>
      <c r="B27" t="s">
        <v>105</v>
      </c>
      <c r="C27" t="s">
        <v>106</v>
      </c>
      <c r="D27">
        <v>58</v>
      </c>
      <c r="E27">
        <v>24911</v>
      </c>
      <c r="F27" t="s">
        <v>107</v>
      </c>
      <c r="G27" t="s">
        <v>77</v>
      </c>
      <c r="H27" s="14">
        <v>25400</v>
      </c>
      <c r="I27">
        <v>70500</v>
      </c>
      <c r="J27" t="s">
        <v>18</v>
      </c>
      <c r="K27">
        <v>11</v>
      </c>
      <c r="M27" t="s">
        <v>18</v>
      </c>
      <c r="N27">
        <v>47000</v>
      </c>
    </row>
    <row r="28" spans="1:14">
      <c r="A28" t="s">
        <v>13</v>
      </c>
      <c r="B28" t="s">
        <v>35</v>
      </c>
      <c r="C28">
        <v>34300</v>
      </c>
      <c r="D28">
        <v>48</v>
      </c>
      <c r="E28" s="1">
        <v>28408</v>
      </c>
      <c r="F28" t="s">
        <v>108</v>
      </c>
      <c r="H28" s="15">
        <v>13300</v>
      </c>
      <c r="I28">
        <v>42000</v>
      </c>
      <c r="J28" t="s">
        <v>18</v>
      </c>
      <c r="K28">
        <v>27</v>
      </c>
      <c r="M28" t="s">
        <v>18</v>
      </c>
      <c r="N28">
        <v>40000</v>
      </c>
    </row>
    <row r="29" spans="1:14">
      <c r="A29" t="s">
        <v>13</v>
      </c>
      <c r="B29" t="s">
        <v>109</v>
      </c>
      <c r="C29" t="s">
        <v>110</v>
      </c>
      <c r="D29">
        <v>29</v>
      </c>
      <c r="E29">
        <v>35323</v>
      </c>
      <c r="F29" t="s">
        <v>111</v>
      </c>
      <c r="G29" t="s">
        <v>87</v>
      </c>
      <c r="H29">
        <v>21200</v>
      </c>
      <c r="I29">
        <v>75000</v>
      </c>
      <c r="J29" t="s">
        <v>38</v>
      </c>
      <c r="K29">
        <v>6</v>
      </c>
      <c r="M29" t="s">
        <v>38</v>
      </c>
      <c r="N29">
        <v>63500</v>
      </c>
    </row>
    <row r="30" spans="1:14">
      <c r="A30" t="s">
        <v>112</v>
      </c>
      <c r="B30" t="s">
        <v>113</v>
      </c>
      <c r="C30" t="s">
        <v>114</v>
      </c>
      <c r="D30">
        <v>38</v>
      </c>
      <c r="E30">
        <v>32166</v>
      </c>
      <c r="F30" t="s">
        <v>79</v>
      </c>
      <c r="G30" t="s">
        <v>115</v>
      </c>
      <c r="H30" t="s">
        <v>66</v>
      </c>
      <c r="I30">
        <v>39000</v>
      </c>
      <c r="J30" t="s">
        <v>38</v>
      </c>
      <c r="K30">
        <v>25</v>
      </c>
      <c r="M30" t="s">
        <v>38</v>
      </c>
      <c r="N30">
        <v>88500</v>
      </c>
    </row>
    <row r="31" spans="1:14">
      <c r="A31" t="s">
        <v>19</v>
      </c>
      <c r="B31" t="s">
        <v>116</v>
      </c>
      <c r="C31" t="s">
        <v>117</v>
      </c>
      <c r="D31">
        <v>68</v>
      </c>
      <c r="E31">
        <v>21293</v>
      </c>
      <c r="F31" t="s">
        <v>50</v>
      </c>
      <c r="G31" t="s">
        <v>70</v>
      </c>
      <c r="H31">
        <v>3800</v>
      </c>
      <c r="I31">
        <v>70000</v>
      </c>
      <c r="J31" t="s">
        <v>18</v>
      </c>
      <c r="K31">
        <v>34</v>
      </c>
      <c r="M31" t="s">
        <v>18</v>
      </c>
      <c r="N31">
        <v>7500</v>
      </c>
    </row>
    <row r="32" spans="1:14">
      <c r="A32" t="s">
        <v>13</v>
      </c>
      <c r="B32" t="s">
        <v>118</v>
      </c>
      <c r="C32" t="s">
        <v>119</v>
      </c>
      <c r="D32">
        <v>19</v>
      </c>
      <c r="E32" s="1">
        <v>39220</v>
      </c>
      <c r="F32" t="s">
        <v>86</v>
      </c>
      <c r="G32" t="s">
        <v>87</v>
      </c>
      <c r="H32">
        <v>18000</v>
      </c>
      <c r="I32">
        <v>50500</v>
      </c>
      <c r="J32" t="s">
        <v>120</v>
      </c>
      <c r="K32">
        <v>11</v>
      </c>
      <c r="M32" t="s">
        <v>120</v>
      </c>
      <c r="N32">
        <v>26000</v>
      </c>
    </row>
    <row r="33" spans="1:14">
      <c r="A33" t="s">
        <v>13</v>
      </c>
      <c r="B33" t="s">
        <v>121</v>
      </c>
      <c r="C33">
        <v>15400</v>
      </c>
      <c r="D33">
        <v>42</v>
      </c>
      <c r="E33">
        <v>30642</v>
      </c>
      <c r="F33" t="s">
        <v>122</v>
      </c>
      <c r="G33" t="s">
        <v>122</v>
      </c>
      <c r="H33" t="s">
        <v>123</v>
      </c>
      <c r="I33">
        <v>19500</v>
      </c>
      <c r="J33" t="s">
        <v>38</v>
      </c>
      <c r="K33">
        <v>42</v>
      </c>
      <c r="M33" t="s">
        <v>38</v>
      </c>
      <c r="N33">
        <v>89500</v>
      </c>
    </row>
    <row r="34" spans="1:14">
      <c r="A34" t="s">
        <v>13</v>
      </c>
      <c r="B34" t="s">
        <v>124</v>
      </c>
      <c r="C34" t="s">
        <v>125</v>
      </c>
      <c r="D34">
        <v>27</v>
      </c>
      <c r="E34">
        <v>36319</v>
      </c>
      <c r="F34" t="s">
        <v>21</v>
      </c>
      <c r="G34" t="s">
        <v>126</v>
      </c>
      <c r="H34">
        <v>28800</v>
      </c>
      <c r="I34" s="15">
        <v>78500</v>
      </c>
      <c r="J34" t="s">
        <v>38</v>
      </c>
      <c r="K34">
        <v>2</v>
      </c>
      <c r="M34" t="s">
        <v>38</v>
      </c>
      <c r="N34">
        <v>53000</v>
      </c>
    </row>
    <row r="35" spans="1:14">
      <c r="A35" t="s">
        <v>13</v>
      </c>
      <c r="B35" t="s">
        <v>127</v>
      </c>
      <c r="C35" t="s">
        <v>128</v>
      </c>
      <c r="D35">
        <v>42</v>
      </c>
      <c r="E35">
        <v>30878</v>
      </c>
      <c r="F35" t="s">
        <v>50</v>
      </c>
      <c r="G35" t="s">
        <v>70</v>
      </c>
      <c r="H35">
        <v>17500</v>
      </c>
      <c r="I35">
        <v>3500</v>
      </c>
      <c r="J35" t="s">
        <v>129</v>
      </c>
      <c r="K35">
        <v>25</v>
      </c>
      <c r="M35" t="s">
        <v>129</v>
      </c>
      <c r="N35">
        <v>35000</v>
      </c>
    </row>
    <row r="36" spans="1:14">
      <c r="A36" t="s">
        <v>13</v>
      </c>
      <c r="B36" t="s">
        <v>130</v>
      </c>
      <c r="C36" t="s">
        <v>131</v>
      </c>
      <c r="D36">
        <v>44</v>
      </c>
      <c r="E36">
        <v>29975</v>
      </c>
      <c r="F36" t="s">
        <v>41</v>
      </c>
      <c r="G36" t="s">
        <v>132</v>
      </c>
      <c r="H36">
        <v>5300</v>
      </c>
      <c r="I36">
        <v>6000</v>
      </c>
      <c r="J36" t="s">
        <v>18</v>
      </c>
      <c r="K36">
        <v>1</v>
      </c>
      <c r="M36" t="s">
        <v>18</v>
      </c>
      <c r="N36">
        <v>4500</v>
      </c>
    </row>
    <row r="37" spans="1:14">
      <c r="A37" t="s">
        <v>13</v>
      </c>
      <c r="B37" t="s">
        <v>133</v>
      </c>
      <c r="C37" t="s">
        <v>134</v>
      </c>
      <c r="D37">
        <v>40</v>
      </c>
      <c r="E37" s="1">
        <v>31539</v>
      </c>
      <c r="F37" t="s">
        <v>100</v>
      </c>
      <c r="G37" t="s">
        <v>80</v>
      </c>
      <c r="H37">
        <v>9900</v>
      </c>
      <c r="I37">
        <v>3500</v>
      </c>
      <c r="J37" t="s">
        <v>38</v>
      </c>
      <c r="K37">
        <v>1</v>
      </c>
      <c r="M37" t="s">
        <v>38</v>
      </c>
      <c r="N37">
        <v>23500</v>
      </c>
    </row>
    <row r="38" spans="1:14">
      <c r="A38" t="s">
        <v>13</v>
      </c>
      <c r="B38" t="s">
        <v>135</v>
      </c>
      <c r="C38" t="s">
        <v>136</v>
      </c>
      <c r="D38">
        <v>65</v>
      </c>
      <c r="E38" s="1">
        <v>22236</v>
      </c>
      <c r="F38" t="s">
        <v>50</v>
      </c>
      <c r="G38" t="s">
        <v>51</v>
      </c>
      <c r="H38" t="s">
        <v>137</v>
      </c>
      <c r="I38">
        <v>28000</v>
      </c>
      <c r="J38" t="s">
        <v>38</v>
      </c>
      <c r="K38">
        <v>34</v>
      </c>
      <c r="M38" t="s">
        <v>38</v>
      </c>
      <c r="N38">
        <v>74000</v>
      </c>
    </row>
    <row r="39" spans="1:14">
      <c r="B39" t="s">
        <v>138</v>
      </c>
      <c r="C39" t="s">
        <v>139</v>
      </c>
      <c r="D39">
        <v>63</v>
      </c>
      <c r="E39">
        <v>22974</v>
      </c>
      <c r="F39" t="s">
        <v>122</v>
      </c>
      <c r="G39" t="s">
        <v>140</v>
      </c>
      <c r="H39" s="14">
        <v>14700</v>
      </c>
      <c r="I39">
        <v>0</v>
      </c>
      <c r="J39" t="s">
        <v>120</v>
      </c>
      <c r="K39">
        <v>40</v>
      </c>
      <c r="M39" t="s">
        <v>120</v>
      </c>
      <c r="N39">
        <v>83500</v>
      </c>
    </row>
    <row r="40" spans="1:14">
      <c r="A40" t="s">
        <v>13</v>
      </c>
      <c r="B40" t="s">
        <v>141</v>
      </c>
      <c r="C40" t="s">
        <v>142</v>
      </c>
      <c r="D40">
        <v>22</v>
      </c>
      <c r="F40" t="s">
        <v>59</v>
      </c>
      <c r="G40" t="s">
        <v>60</v>
      </c>
      <c r="H40">
        <v>14400</v>
      </c>
      <c r="I40">
        <v>0</v>
      </c>
      <c r="J40" t="s">
        <v>38</v>
      </c>
      <c r="K40" t="s">
        <v>143</v>
      </c>
      <c r="M40" t="s">
        <v>38</v>
      </c>
      <c r="N40">
        <v>33500</v>
      </c>
    </row>
    <row r="41" spans="1:14">
      <c r="A41" t="s">
        <v>43</v>
      </c>
      <c r="B41" t="s">
        <v>144</v>
      </c>
      <c r="C41" t="s">
        <v>145</v>
      </c>
      <c r="D41">
        <v>39</v>
      </c>
      <c r="E41">
        <v>31879</v>
      </c>
      <c r="F41" t="s">
        <v>86</v>
      </c>
      <c r="G41" t="s">
        <v>87</v>
      </c>
      <c r="H41" t="s">
        <v>146</v>
      </c>
      <c r="I41">
        <v>0</v>
      </c>
      <c r="J41" t="s">
        <v>38</v>
      </c>
      <c r="K41">
        <v>39</v>
      </c>
      <c r="M41" t="s">
        <v>38</v>
      </c>
      <c r="N41">
        <v>75000</v>
      </c>
    </row>
    <row r="42" spans="1:14">
      <c r="A42" t="s">
        <v>13</v>
      </c>
      <c r="B42" t="s">
        <v>147</v>
      </c>
      <c r="C42" t="s">
        <v>148</v>
      </c>
      <c r="D42">
        <v>63</v>
      </c>
      <c r="E42">
        <v>23231</v>
      </c>
      <c r="F42" t="s">
        <v>108</v>
      </c>
      <c r="G42" t="s">
        <v>80</v>
      </c>
      <c r="H42">
        <v>16800</v>
      </c>
      <c r="I42">
        <v>0</v>
      </c>
      <c r="K42">
        <v>32</v>
      </c>
      <c r="N42">
        <v>61500</v>
      </c>
    </row>
    <row r="43" spans="1:14">
      <c r="A43" t="s">
        <v>13</v>
      </c>
      <c r="B43" t="s">
        <v>149</v>
      </c>
      <c r="C43" t="s">
        <v>150</v>
      </c>
      <c r="D43">
        <v>54</v>
      </c>
      <c r="E43" s="1">
        <v>26213</v>
      </c>
      <c r="F43" t="s">
        <v>86</v>
      </c>
      <c r="G43" t="s">
        <v>151</v>
      </c>
      <c r="H43">
        <v>29700</v>
      </c>
      <c r="I43">
        <v>34000</v>
      </c>
      <c r="J43" t="s">
        <v>38</v>
      </c>
      <c r="K43">
        <v>35</v>
      </c>
      <c r="M43" t="s">
        <v>38</v>
      </c>
      <c r="N43">
        <v>35000</v>
      </c>
    </row>
    <row r="44" spans="1:14">
      <c r="A44" t="s">
        <v>13</v>
      </c>
      <c r="B44" t="s">
        <v>44</v>
      </c>
      <c r="C44" t="s">
        <v>152</v>
      </c>
      <c r="D44">
        <v>29</v>
      </c>
      <c r="E44">
        <v>35472</v>
      </c>
      <c r="F44" t="s">
        <v>153</v>
      </c>
      <c r="H44">
        <v>11900</v>
      </c>
      <c r="I44">
        <v>65000</v>
      </c>
      <c r="J44" t="s">
        <v>18</v>
      </c>
      <c r="K44">
        <v>29</v>
      </c>
      <c r="M44" t="s">
        <v>18</v>
      </c>
      <c r="N44">
        <v>12000</v>
      </c>
    </row>
    <row r="45" spans="1:14">
      <c r="A45" t="s">
        <v>13</v>
      </c>
      <c r="B45" t="s">
        <v>154</v>
      </c>
      <c r="C45">
        <v>16500</v>
      </c>
      <c r="D45">
        <v>37</v>
      </c>
      <c r="E45">
        <v>32513</v>
      </c>
      <c r="F45" t="s">
        <v>155</v>
      </c>
      <c r="G45" t="s">
        <v>156</v>
      </c>
      <c r="H45" s="14">
        <v>2600</v>
      </c>
      <c r="I45" t="s">
        <v>29</v>
      </c>
      <c r="J45" t="s">
        <v>38</v>
      </c>
      <c r="K45">
        <v>5</v>
      </c>
      <c r="M45" t="s">
        <v>38</v>
      </c>
      <c r="N45">
        <v>16500</v>
      </c>
    </row>
    <row r="46" spans="1:14">
      <c r="A46" t="s">
        <v>13</v>
      </c>
      <c r="B46" t="s">
        <v>157</v>
      </c>
      <c r="C46">
        <v>15100</v>
      </c>
      <c r="D46">
        <v>25</v>
      </c>
      <c r="E46" s="1">
        <v>37125</v>
      </c>
      <c r="F46" t="s">
        <v>122</v>
      </c>
      <c r="G46" t="s">
        <v>122</v>
      </c>
      <c r="H46">
        <v>2500</v>
      </c>
      <c r="I46">
        <v>72500</v>
      </c>
      <c r="J46" t="s">
        <v>38</v>
      </c>
      <c r="K46">
        <v>32</v>
      </c>
      <c r="M46" t="s">
        <v>38</v>
      </c>
      <c r="N46">
        <v>97000</v>
      </c>
    </row>
    <row r="47" spans="1:14">
      <c r="A47" t="s">
        <v>13</v>
      </c>
      <c r="B47" t="s">
        <v>158</v>
      </c>
      <c r="C47" t="s">
        <v>159</v>
      </c>
      <c r="D47">
        <v>21</v>
      </c>
      <c r="E47">
        <v>38323</v>
      </c>
      <c r="F47" t="s">
        <v>76</v>
      </c>
      <c r="G47" t="s">
        <v>77</v>
      </c>
      <c r="H47" t="s">
        <v>160</v>
      </c>
      <c r="I47">
        <v>0</v>
      </c>
      <c r="J47" t="s">
        <v>38</v>
      </c>
      <c r="K47">
        <v>25</v>
      </c>
      <c r="M47" t="s">
        <v>38</v>
      </c>
      <c r="N47">
        <v>50000</v>
      </c>
    </row>
    <row r="48" spans="1:14">
      <c r="A48" t="s">
        <v>13</v>
      </c>
      <c r="B48" t="s">
        <v>161</v>
      </c>
      <c r="C48" t="s">
        <v>162</v>
      </c>
      <c r="D48">
        <v>28</v>
      </c>
      <c r="E48" s="1">
        <v>35887</v>
      </c>
      <c r="F48" t="s">
        <v>163</v>
      </c>
      <c r="G48" t="s">
        <v>27</v>
      </c>
      <c r="H48" t="s">
        <v>164</v>
      </c>
      <c r="I48">
        <v>51000</v>
      </c>
      <c r="J48" t="s">
        <v>129</v>
      </c>
      <c r="K48">
        <v>12</v>
      </c>
      <c r="M48" t="s">
        <v>129</v>
      </c>
      <c r="N48">
        <v>72500</v>
      </c>
    </row>
    <row r="49" spans="1:14">
      <c r="A49" t="s">
        <v>13</v>
      </c>
      <c r="B49" t="s">
        <v>165</v>
      </c>
      <c r="C49">
        <v>10800</v>
      </c>
      <c r="D49">
        <v>39</v>
      </c>
      <c r="E49" s="1">
        <v>31766</v>
      </c>
      <c r="F49" t="s">
        <v>86</v>
      </c>
      <c r="G49" t="s">
        <v>156</v>
      </c>
      <c r="H49">
        <v>24700</v>
      </c>
      <c r="I49" t="s">
        <v>166</v>
      </c>
      <c r="J49" t="s">
        <v>38</v>
      </c>
      <c r="K49">
        <v>43</v>
      </c>
      <c r="M49" t="s">
        <v>38</v>
      </c>
      <c r="N49">
        <v>57000</v>
      </c>
    </row>
    <row r="50" spans="1:14">
      <c r="A50" t="s">
        <v>13</v>
      </c>
      <c r="B50" t="s">
        <v>167</v>
      </c>
      <c r="C50">
        <v>15000</v>
      </c>
      <c r="D50">
        <v>73</v>
      </c>
      <c r="E50">
        <v>19588</v>
      </c>
      <c r="F50" t="s">
        <v>100</v>
      </c>
      <c r="G50" t="s">
        <v>80</v>
      </c>
      <c r="H50" s="15">
        <v>28600</v>
      </c>
      <c r="I50">
        <v>40500</v>
      </c>
      <c r="J50" t="s">
        <v>38</v>
      </c>
      <c r="K50">
        <v>20</v>
      </c>
      <c r="M50" t="s">
        <v>38</v>
      </c>
      <c r="N50">
        <v>2500</v>
      </c>
    </row>
    <row r="51" spans="1:14">
      <c r="A51" t="s">
        <v>13</v>
      </c>
      <c r="B51" t="s">
        <v>168</v>
      </c>
      <c r="C51" t="s">
        <v>169</v>
      </c>
      <c r="D51">
        <v>42</v>
      </c>
      <c r="E51" s="1">
        <v>30662</v>
      </c>
      <c r="F51" t="s">
        <v>79</v>
      </c>
      <c r="G51" t="s">
        <v>93</v>
      </c>
      <c r="H51">
        <v>20400</v>
      </c>
      <c r="I51">
        <v>0</v>
      </c>
      <c r="J51" t="s">
        <v>129</v>
      </c>
      <c r="K51">
        <v>0</v>
      </c>
      <c r="M51" t="s">
        <v>129</v>
      </c>
      <c r="N51">
        <v>81000</v>
      </c>
    </row>
    <row r="52" spans="1:14">
      <c r="A52" t="s">
        <v>13</v>
      </c>
      <c r="B52" t="s">
        <v>170</v>
      </c>
      <c r="C52" t="s">
        <v>171</v>
      </c>
      <c r="D52">
        <v>48</v>
      </c>
      <c r="E52" s="1">
        <v>28430</v>
      </c>
      <c r="F52" t="s">
        <v>50</v>
      </c>
      <c r="G52" t="s">
        <v>51</v>
      </c>
      <c r="H52" t="s">
        <v>172</v>
      </c>
      <c r="I52">
        <v>0</v>
      </c>
      <c r="J52" t="s">
        <v>38</v>
      </c>
      <c r="K52">
        <v>3</v>
      </c>
      <c r="M52" t="s">
        <v>38</v>
      </c>
      <c r="N52">
        <v>48500</v>
      </c>
    </row>
    <row r="53" spans="1:14">
      <c r="A53" t="s">
        <v>19</v>
      </c>
      <c r="B53" t="s">
        <v>31</v>
      </c>
      <c r="C53" t="s">
        <v>173</v>
      </c>
      <c r="D53">
        <v>39</v>
      </c>
      <c r="E53" s="1">
        <v>31693</v>
      </c>
      <c r="F53" t="s">
        <v>41</v>
      </c>
      <c r="G53" t="s">
        <v>46</v>
      </c>
      <c r="H53">
        <v>22200</v>
      </c>
      <c r="I53">
        <v>0</v>
      </c>
      <c r="J53" t="s">
        <v>18</v>
      </c>
      <c r="K53">
        <v>3</v>
      </c>
      <c r="M53" t="s">
        <v>18</v>
      </c>
      <c r="N53">
        <v>7000</v>
      </c>
    </row>
    <row r="54" spans="1:14">
      <c r="A54" t="s">
        <v>13</v>
      </c>
      <c r="B54" t="s">
        <v>174</v>
      </c>
      <c r="C54" t="s">
        <v>175</v>
      </c>
      <c r="D54">
        <v>56</v>
      </c>
      <c r="E54" s="1">
        <v>25525</v>
      </c>
      <c r="F54" t="s">
        <v>122</v>
      </c>
      <c r="G54" t="s">
        <v>122</v>
      </c>
      <c r="H54" t="s">
        <v>176</v>
      </c>
      <c r="I54">
        <v>63000</v>
      </c>
      <c r="J54" t="s">
        <v>38</v>
      </c>
      <c r="K54">
        <v>0</v>
      </c>
      <c r="M54" t="s">
        <v>38</v>
      </c>
      <c r="N54">
        <v>56000</v>
      </c>
    </row>
    <row r="55" spans="1:14">
      <c r="A55" t="s">
        <v>13</v>
      </c>
      <c r="B55" t="s">
        <v>177</v>
      </c>
      <c r="C55">
        <v>14200</v>
      </c>
      <c r="D55">
        <v>48</v>
      </c>
      <c r="E55" s="1">
        <v>28681</v>
      </c>
      <c r="F55" t="s">
        <v>178</v>
      </c>
      <c r="H55">
        <v>15800</v>
      </c>
      <c r="I55" t="s">
        <v>29</v>
      </c>
      <c r="J55" t="s">
        <v>38</v>
      </c>
      <c r="K55">
        <v>12</v>
      </c>
      <c r="M55" t="s">
        <v>38</v>
      </c>
      <c r="N55">
        <v>69500</v>
      </c>
    </row>
    <row r="56" spans="1:14">
      <c r="A56" t="s">
        <v>13</v>
      </c>
      <c r="B56" t="s">
        <v>179</v>
      </c>
      <c r="C56" t="s">
        <v>180</v>
      </c>
      <c r="D56">
        <v>70</v>
      </c>
      <c r="E56" s="1">
        <v>20570</v>
      </c>
      <c r="F56" t="s">
        <v>65</v>
      </c>
      <c r="G56" t="s">
        <v>60</v>
      </c>
      <c r="H56">
        <v>16300</v>
      </c>
      <c r="I56">
        <v>16500</v>
      </c>
      <c r="J56" t="s">
        <v>38</v>
      </c>
      <c r="K56">
        <v>25</v>
      </c>
      <c r="M56" t="s">
        <v>38</v>
      </c>
      <c r="N56">
        <v>65500</v>
      </c>
    </row>
    <row r="57" spans="1:14">
      <c r="A57" t="s">
        <v>43</v>
      </c>
      <c r="B57" t="s">
        <v>181</v>
      </c>
      <c r="C57" t="s">
        <v>182</v>
      </c>
      <c r="D57">
        <v>24</v>
      </c>
      <c r="E57">
        <v>37435</v>
      </c>
      <c r="F57" t="s">
        <v>183</v>
      </c>
      <c r="G57" t="s">
        <v>184</v>
      </c>
      <c r="H57">
        <v>6100</v>
      </c>
      <c r="J57" t="s">
        <v>185</v>
      </c>
      <c r="K57">
        <v>15</v>
      </c>
      <c r="M57" t="s">
        <v>185</v>
      </c>
      <c r="N57">
        <v>67000</v>
      </c>
    </row>
    <row r="58" spans="1:14">
      <c r="A58" t="s">
        <v>13</v>
      </c>
      <c r="B58" t="s">
        <v>186</v>
      </c>
      <c r="C58" t="s">
        <v>187</v>
      </c>
      <c r="D58">
        <v>47</v>
      </c>
      <c r="E58">
        <v>28802</v>
      </c>
      <c r="F58" t="s">
        <v>183</v>
      </c>
      <c r="G58" t="s">
        <v>188</v>
      </c>
      <c r="H58">
        <v>22700</v>
      </c>
      <c r="I58">
        <v>8500</v>
      </c>
      <c r="K58">
        <v>35</v>
      </c>
      <c r="N58">
        <v>23500</v>
      </c>
    </row>
    <row r="59" spans="1:14">
      <c r="A59" t="s">
        <v>13</v>
      </c>
      <c r="B59" t="s">
        <v>189</v>
      </c>
      <c r="C59" t="s">
        <v>190</v>
      </c>
      <c r="D59">
        <v>33</v>
      </c>
      <c r="E59" s="1">
        <v>33881</v>
      </c>
      <c r="F59" t="s">
        <v>79</v>
      </c>
      <c r="G59" t="s">
        <v>93</v>
      </c>
      <c r="H59" s="15">
        <v>29700</v>
      </c>
      <c r="I59">
        <v>22000</v>
      </c>
      <c r="J59" t="s">
        <v>38</v>
      </c>
      <c r="K59" t="s">
        <v>191</v>
      </c>
      <c r="M59" t="s">
        <v>38</v>
      </c>
      <c r="N59">
        <v>81000</v>
      </c>
    </row>
    <row r="60" spans="1:14">
      <c r="A60" t="s">
        <v>19</v>
      </c>
      <c r="B60" t="s">
        <v>192</v>
      </c>
      <c r="C60" t="s">
        <v>193</v>
      </c>
      <c r="D60">
        <v>38</v>
      </c>
      <c r="E60" s="1">
        <v>32102</v>
      </c>
      <c r="F60" t="s">
        <v>50</v>
      </c>
      <c r="G60" t="s">
        <v>56</v>
      </c>
      <c r="H60">
        <v>13500</v>
      </c>
      <c r="I60">
        <v>24000</v>
      </c>
      <c r="J60" t="s">
        <v>38</v>
      </c>
      <c r="K60">
        <v>2</v>
      </c>
      <c r="M60" t="s">
        <v>38</v>
      </c>
      <c r="N60">
        <v>17500</v>
      </c>
    </row>
    <row r="61" spans="1:14">
      <c r="A61" t="s">
        <v>19</v>
      </c>
      <c r="B61" t="s">
        <v>194</v>
      </c>
      <c r="C61">
        <v>3400</v>
      </c>
      <c r="D61">
        <v>35</v>
      </c>
      <c r="E61" s="1">
        <v>33204</v>
      </c>
      <c r="F61" t="s">
        <v>108</v>
      </c>
      <c r="G61" t="s">
        <v>115</v>
      </c>
      <c r="H61">
        <v>17600</v>
      </c>
      <c r="I61">
        <v>44000</v>
      </c>
      <c r="J61" t="s">
        <v>185</v>
      </c>
      <c r="K61">
        <v>22</v>
      </c>
      <c r="M61" t="s">
        <v>185</v>
      </c>
      <c r="N61">
        <v>56500</v>
      </c>
    </row>
    <row r="62" spans="1:14">
      <c r="A62" t="s">
        <v>19</v>
      </c>
      <c r="B62" t="s">
        <v>195</v>
      </c>
      <c r="C62" t="s">
        <v>196</v>
      </c>
      <c r="D62">
        <v>67</v>
      </c>
      <c r="E62">
        <v>21512</v>
      </c>
      <c r="F62" t="s">
        <v>65</v>
      </c>
      <c r="G62" t="s">
        <v>197</v>
      </c>
      <c r="H62" s="14">
        <v>3200</v>
      </c>
      <c r="I62">
        <v>6500</v>
      </c>
      <c r="J62" t="s">
        <v>38</v>
      </c>
      <c r="K62">
        <v>20</v>
      </c>
      <c r="M62" t="s">
        <v>38</v>
      </c>
      <c r="N62">
        <v>52500</v>
      </c>
    </row>
    <row r="63" spans="1:14">
      <c r="A63" t="s">
        <v>198</v>
      </c>
      <c r="B63" t="s">
        <v>199</v>
      </c>
      <c r="C63" t="s">
        <v>200</v>
      </c>
      <c r="D63">
        <v>51</v>
      </c>
      <c r="E63" s="1">
        <v>27377</v>
      </c>
      <c r="F63" t="s">
        <v>50</v>
      </c>
      <c r="G63" t="s">
        <v>51</v>
      </c>
      <c r="H63">
        <v>16300</v>
      </c>
      <c r="J63" t="s">
        <v>129</v>
      </c>
      <c r="K63">
        <v>8</v>
      </c>
      <c r="M63" t="s">
        <v>129</v>
      </c>
      <c r="N63">
        <v>33000</v>
      </c>
    </row>
    <row r="64" spans="1:14">
      <c r="A64" t="s">
        <v>19</v>
      </c>
      <c r="B64" t="s">
        <v>201</v>
      </c>
      <c r="C64" t="s">
        <v>202</v>
      </c>
      <c r="D64" t="s">
        <v>203</v>
      </c>
      <c r="E64" s="1">
        <v>29113</v>
      </c>
      <c r="F64" t="s">
        <v>100</v>
      </c>
      <c r="G64" t="s">
        <v>80</v>
      </c>
      <c r="H64">
        <v>15000</v>
      </c>
      <c r="I64">
        <v>32500</v>
      </c>
      <c r="J64" t="s">
        <v>38</v>
      </c>
      <c r="K64">
        <v>40</v>
      </c>
      <c r="M64" t="s">
        <v>38</v>
      </c>
      <c r="N64">
        <v>4500</v>
      </c>
    </row>
    <row r="65" spans="1:14">
      <c r="A65" t="s">
        <v>13</v>
      </c>
      <c r="B65" t="s">
        <v>204</v>
      </c>
      <c r="C65">
        <v>23900</v>
      </c>
      <c r="D65">
        <v>39</v>
      </c>
      <c r="E65">
        <v>31740</v>
      </c>
      <c r="F65" t="s">
        <v>50</v>
      </c>
      <c r="G65" t="s">
        <v>205</v>
      </c>
      <c r="H65" s="14">
        <v>13200</v>
      </c>
      <c r="I65" t="s">
        <v>29</v>
      </c>
      <c r="J65" t="s">
        <v>38</v>
      </c>
      <c r="K65" t="s">
        <v>191</v>
      </c>
      <c r="M65" t="s">
        <v>38</v>
      </c>
      <c r="N65">
        <v>36000</v>
      </c>
    </row>
    <row r="66" spans="1:14">
      <c r="A66" t="s">
        <v>13</v>
      </c>
      <c r="B66" t="s">
        <v>206</v>
      </c>
      <c r="C66" t="s">
        <v>207</v>
      </c>
      <c r="D66">
        <v>24</v>
      </c>
      <c r="E66">
        <v>37172</v>
      </c>
      <c r="F66" t="s">
        <v>16</v>
      </c>
      <c r="G66" t="s">
        <v>17</v>
      </c>
      <c r="H66">
        <v>21600</v>
      </c>
      <c r="I66" s="14">
        <v>25000</v>
      </c>
      <c r="J66" t="s">
        <v>38</v>
      </c>
      <c r="K66">
        <v>33</v>
      </c>
      <c r="M66" t="s">
        <v>38</v>
      </c>
      <c r="N66">
        <v>17500</v>
      </c>
    </row>
    <row r="67" spans="1:14">
      <c r="A67" t="s">
        <v>13</v>
      </c>
      <c r="B67" t="s">
        <v>208</v>
      </c>
      <c r="C67">
        <v>16100</v>
      </c>
      <c r="D67">
        <v>57</v>
      </c>
      <c r="F67" t="s">
        <v>41</v>
      </c>
      <c r="G67" t="s">
        <v>132</v>
      </c>
      <c r="H67" t="s">
        <v>123</v>
      </c>
      <c r="J67" t="s">
        <v>18</v>
      </c>
      <c r="K67" t="s">
        <v>209</v>
      </c>
      <c r="M67" t="s">
        <v>18</v>
      </c>
      <c r="N67">
        <v>13000</v>
      </c>
    </row>
    <row r="68" spans="1:14">
      <c r="A68" t="s">
        <v>13</v>
      </c>
      <c r="B68" t="s">
        <v>210</v>
      </c>
      <c r="C68">
        <v>6300</v>
      </c>
      <c r="D68">
        <v>68</v>
      </c>
      <c r="F68" t="s">
        <v>26</v>
      </c>
      <c r="G68" t="s">
        <v>27</v>
      </c>
      <c r="H68" s="15">
        <v>19900</v>
      </c>
      <c r="I68">
        <v>35000</v>
      </c>
      <c r="J68" t="s">
        <v>129</v>
      </c>
      <c r="K68">
        <v>25</v>
      </c>
      <c r="M68" t="s">
        <v>129</v>
      </c>
      <c r="N68">
        <v>59500</v>
      </c>
    </row>
    <row r="69" spans="1:14">
      <c r="A69" t="s">
        <v>13</v>
      </c>
      <c r="B69" t="s">
        <v>211</v>
      </c>
      <c r="C69">
        <v>27200</v>
      </c>
      <c r="D69">
        <v>56</v>
      </c>
      <c r="E69" s="1">
        <v>25710</v>
      </c>
      <c r="F69" t="s">
        <v>100</v>
      </c>
      <c r="G69" t="s">
        <v>80</v>
      </c>
      <c r="H69">
        <v>14100</v>
      </c>
      <c r="I69">
        <v>1500</v>
      </c>
      <c r="J69" t="s">
        <v>38</v>
      </c>
      <c r="K69">
        <v>26</v>
      </c>
      <c r="M69" t="s">
        <v>38</v>
      </c>
      <c r="N69">
        <v>36000</v>
      </c>
    </row>
    <row r="70" spans="1:14">
      <c r="A70" t="s">
        <v>43</v>
      </c>
      <c r="B70" t="s">
        <v>212</v>
      </c>
      <c r="C70" t="s">
        <v>213</v>
      </c>
      <c r="D70">
        <v>33</v>
      </c>
      <c r="E70" s="1">
        <v>34027</v>
      </c>
      <c r="F70" t="s">
        <v>65</v>
      </c>
      <c r="G70" t="s">
        <v>214</v>
      </c>
      <c r="H70">
        <v>3400</v>
      </c>
      <c r="I70">
        <v>0</v>
      </c>
      <c r="J70" t="s">
        <v>38</v>
      </c>
      <c r="K70">
        <v>13</v>
      </c>
      <c r="M70" t="s">
        <v>38</v>
      </c>
      <c r="N70">
        <v>70000</v>
      </c>
    </row>
    <row r="71" spans="1:14">
      <c r="A71" t="s">
        <v>13</v>
      </c>
      <c r="B71" t="s">
        <v>215</v>
      </c>
      <c r="C71" t="s">
        <v>216</v>
      </c>
      <c r="D71">
        <v>41</v>
      </c>
      <c r="E71" s="1">
        <v>30944</v>
      </c>
      <c r="F71" t="s">
        <v>21</v>
      </c>
      <c r="G71" t="s">
        <v>22</v>
      </c>
      <c r="H71" t="s">
        <v>217</v>
      </c>
      <c r="I71" s="15">
        <v>20500</v>
      </c>
      <c r="J71" t="s">
        <v>18</v>
      </c>
      <c r="K71">
        <v>8</v>
      </c>
      <c r="M71" t="s">
        <v>18</v>
      </c>
      <c r="N71">
        <v>44000</v>
      </c>
    </row>
    <row r="72" spans="1:14">
      <c r="A72" t="s">
        <v>13</v>
      </c>
      <c r="B72" t="s">
        <v>218</v>
      </c>
      <c r="C72" t="s">
        <v>219</v>
      </c>
      <c r="E72" s="1">
        <v>34411</v>
      </c>
      <c r="F72" t="s">
        <v>122</v>
      </c>
      <c r="G72" t="s">
        <v>122</v>
      </c>
      <c r="I72">
        <v>0</v>
      </c>
      <c r="J72" t="s">
        <v>38</v>
      </c>
      <c r="K72">
        <v>20</v>
      </c>
      <c r="M72" t="s">
        <v>38</v>
      </c>
      <c r="N72">
        <v>42000</v>
      </c>
    </row>
    <row r="73" spans="1:14">
      <c r="A73" t="s">
        <v>13</v>
      </c>
      <c r="B73" t="s">
        <v>220</v>
      </c>
      <c r="C73" t="s">
        <v>221</v>
      </c>
      <c r="D73">
        <v>34</v>
      </c>
      <c r="E73">
        <v>33525</v>
      </c>
      <c r="F73" t="s">
        <v>108</v>
      </c>
      <c r="H73">
        <v>28000</v>
      </c>
      <c r="I73">
        <v>36500</v>
      </c>
      <c r="J73" t="s">
        <v>38</v>
      </c>
      <c r="K73">
        <v>33</v>
      </c>
      <c r="M73" t="s">
        <v>38</v>
      </c>
      <c r="N73">
        <v>60000</v>
      </c>
    </row>
    <row r="74" spans="1:14">
      <c r="A74" t="s">
        <v>13</v>
      </c>
      <c r="B74" t="s">
        <v>222</v>
      </c>
      <c r="C74" t="s">
        <v>223</v>
      </c>
      <c r="D74">
        <v>24</v>
      </c>
      <c r="E74">
        <v>37259</v>
      </c>
      <c r="F74" t="s">
        <v>122</v>
      </c>
      <c r="G74" t="s">
        <v>122</v>
      </c>
      <c r="H74">
        <v>25200</v>
      </c>
      <c r="I74">
        <v>0</v>
      </c>
      <c r="J74" t="s">
        <v>38</v>
      </c>
      <c r="K74">
        <v>10</v>
      </c>
      <c r="M74" t="s">
        <v>38</v>
      </c>
      <c r="N74">
        <v>69500</v>
      </c>
    </row>
    <row r="75" spans="1:14">
      <c r="A75" t="s">
        <v>13</v>
      </c>
      <c r="B75" t="s">
        <v>224</v>
      </c>
      <c r="C75" t="s">
        <v>225</v>
      </c>
      <c r="D75">
        <v>55</v>
      </c>
      <c r="E75">
        <v>26104</v>
      </c>
      <c r="F75" t="s">
        <v>50</v>
      </c>
      <c r="G75" t="s">
        <v>51</v>
      </c>
      <c r="H75" s="15">
        <v>22100</v>
      </c>
      <c r="I75">
        <v>41500</v>
      </c>
      <c r="J75" t="s">
        <v>38</v>
      </c>
      <c r="K75">
        <v>18</v>
      </c>
      <c r="M75" t="s">
        <v>38</v>
      </c>
      <c r="N75">
        <v>65000</v>
      </c>
    </row>
    <row r="76" spans="1:14">
      <c r="A76" t="s">
        <v>19</v>
      </c>
      <c r="B76" t="s">
        <v>226</v>
      </c>
      <c r="C76" t="s">
        <v>227</v>
      </c>
      <c r="D76">
        <v>59</v>
      </c>
      <c r="E76">
        <v>24512</v>
      </c>
      <c r="F76" t="s">
        <v>155</v>
      </c>
      <c r="G76" t="s">
        <v>151</v>
      </c>
      <c r="H76">
        <v>6300</v>
      </c>
      <c r="I76">
        <v>15000</v>
      </c>
      <c r="J76" t="s">
        <v>38</v>
      </c>
      <c r="K76">
        <v>42</v>
      </c>
      <c r="M76" t="s">
        <v>38</v>
      </c>
      <c r="N76">
        <v>8500</v>
      </c>
    </row>
    <row r="77" spans="1:14">
      <c r="A77" t="s">
        <v>19</v>
      </c>
      <c r="B77" t="s">
        <v>228</v>
      </c>
      <c r="C77" t="s">
        <v>229</v>
      </c>
      <c r="D77">
        <v>70</v>
      </c>
      <c r="E77" s="1">
        <v>20502</v>
      </c>
      <c r="F77" t="s">
        <v>41</v>
      </c>
      <c r="G77" t="s">
        <v>46</v>
      </c>
      <c r="H77" s="15">
        <v>2500</v>
      </c>
      <c r="I77">
        <v>0</v>
      </c>
      <c r="J77" t="s">
        <v>38</v>
      </c>
      <c r="K77">
        <v>38</v>
      </c>
      <c r="M77" t="s">
        <v>38</v>
      </c>
      <c r="N77">
        <v>44500</v>
      </c>
    </row>
    <row r="78" spans="1:14">
      <c r="A78" t="s">
        <v>13</v>
      </c>
      <c r="B78" t="s">
        <v>230</v>
      </c>
      <c r="C78" t="s">
        <v>231</v>
      </c>
      <c r="D78">
        <v>37</v>
      </c>
      <c r="E78">
        <v>32543</v>
      </c>
      <c r="F78" t="s">
        <v>86</v>
      </c>
      <c r="G78" t="s">
        <v>87</v>
      </c>
      <c r="H78">
        <v>29200</v>
      </c>
      <c r="I78" s="14">
        <v>45000</v>
      </c>
      <c r="J78" t="s">
        <v>38</v>
      </c>
      <c r="K78">
        <v>26</v>
      </c>
      <c r="M78" t="s">
        <v>38</v>
      </c>
      <c r="N78">
        <v>23500</v>
      </c>
    </row>
    <row r="79" spans="1:14">
      <c r="A79" t="s">
        <v>13</v>
      </c>
      <c r="B79" t="s">
        <v>232</v>
      </c>
      <c r="C79" t="s">
        <v>233</v>
      </c>
      <c r="D79">
        <v>27</v>
      </c>
      <c r="E79">
        <v>36308</v>
      </c>
      <c r="F79" t="s">
        <v>76</v>
      </c>
      <c r="G79" t="s">
        <v>77</v>
      </c>
      <c r="H79">
        <v>5300</v>
      </c>
      <c r="I79" t="s">
        <v>234</v>
      </c>
      <c r="J79" t="s">
        <v>185</v>
      </c>
      <c r="K79">
        <v>11</v>
      </c>
      <c r="M79" t="s">
        <v>185</v>
      </c>
      <c r="N79">
        <v>28500</v>
      </c>
    </row>
    <row r="80" spans="1:14">
      <c r="A80" t="s">
        <v>13</v>
      </c>
      <c r="B80" t="s">
        <v>235</v>
      </c>
      <c r="C80" t="s">
        <v>236</v>
      </c>
      <c r="D80">
        <v>55</v>
      </c>
      <c r="E80">
        <v>25874</v>
      </c>
      <c r="F80" t="s">
        <v>122</v>
      </c>
      <c r="G80" t="s">
        <v>237</v>
      </c>
      <c r="H80" s="15">
        <v>29100</v>
      </c>
      <c r="I80" t="s">
        <v>81</v>
      </c>
      <c r="J80" t="s">
        <v>38</v>
      </c>
      <c r="K80">
        <v>11</v>
      </c>
      <c r="M80" t="s">
        <v>38</v>
      </c>
      <c r="N80">
        <v>56000</v>
      </c>
    </row>
    <row r="81" spans="1:14">
      <c r="A81" t="s">
        <v>43</v>
      </c>
      <c r="B81" t="s">
        <v>238</v>
      </c>
      <c r="C81" t="s">
        <v>239</v>
      </c>
      <c r="D81">
        <v>53</v>
      </c>
      <c r="E81" s="1">
        <v>26812</v>
      </c>
      <c r="F81" t="s">
        <v>59</v>
      </c>
      <c r="G81" t="s">
        <v>60</v>
      </c>
      <c r="H81">
        <v>27800</v>
      </c>
      <c r="I81" s="14">
        <v>52000</v>
      </c>
      <c r="J81" t="s">
        <v>38</v>
      </c>
      <c r="K81">
        <v>43</v>
      </c>
      <c r="M81" t="s">
        <v>38</v>
      </c>
      <c r="N81">
        <v>93500</v>
      </c>
    </row>
    <row r="82" spans="1:14">
      <c r="A82" t="s">
        <v>13</v>
      </c>
      <c r="B82" t="s">
        <v>240</v>
      </c>
      <c r="C82" t="s">
        <v>241</v>
      </c>
      <c r="D82">
        <v>40</v>
      </c>
      <c r="E82">
        <v>31647</v>
      </c>
      <c r="F82" t="s">
        <v>100</v>
      </c>
      <c r="G82" t="s">
        <v>80</v>
      </c>
      <c r="H82" s="14">
        <v>18700</v>
      </c>
      <c r="I82">
        <v>15000</v>
      </c>
      <c r="K82">
        <v>26</v>
      </c>
      <c r="N82">
        <v>89500</v>
      </c>
    </row>
    <row r="83" spans="1:14">
      <c r="A83" t="s">
        <v>13</v>
      </c>
      <c r="B83" t="s">
        <v>242</v>
      </c>
      <c r="C83">
        <v>34400</v>
      </c>
      <c r="D83">
        <v>64</v>
      </c>
      <c r="E83">
        <v>22836</v>
      </c>
      <c r="F83" t="s">
        <v>243</v>
      </c>
      <c r="G83" t="s">
        <v>244</v>
      </c>
      <c r="H83">
        <v>24300</v>
      </c>
      <c r="I83" s="15">
        <v>16500</v>
      </c>
      <c r="J83" t="s">
        <v>18</v>
      </c>
      <c r="K83">
        <v>24</v>
      </c>
      <c r="M83" t="s">
        <v>18</v>
      </c>
      <c r="N83">
        <v>57000</v>
      </c>
    </row>
    <row r="84" spans="1:14">
      <c r="A84" t="s">
        <v>13</v>
      </c>
      <c r="B84" t="s">
        <v>245</v>
      </c>
      <c r="C84" t="s">
        <v>246</v>
      </c>
      <c r="D84">
        <v>25</v>
      </c>
      <c r="E84" s="1">
        <v>37091</v>
      </c>
      <c r="F84" t="s">
        <v>16</v>
      </c>
      <c r="G84" t="s">
        <v>17</v>
      </c>
      <c r="H84" s="15">
        <v>28800</v>
      </c>
      <c r="J84" t="s">
        <v>38</v>
      </c>
      <c r="K84">
        <v>12</v>
      </c>
      <c r="M84" t="s">
        <v>38</v>
      </c>
      <c r="N84">
        <v>46500</v>
      </c>
    </row>
    <row r="85" spans="1:14">
      <c r="A85" t="s">
        <v>13</v>
      </c>
      <c r="B85" t="s">
        <v>247</v>
      </c>
      <c r="C85" t="s">
        <v>248</v>
      </c>
      <c r="D85" t="s">
        <v>249</v>
      </c>
      <c r="E85" s="1">
        <v>26161</v>
      </c>
      <c r="F85" t="s">
        <v>111</v>
      </c>
      <c r="H85">
        <v>12200</v>
      </c>
      <c r="I85" t="s">
        <v>250</v>
      </c>
      <c r="J85" t="s">
        <v>30</v>
      </c>
      <c r="K85">
        <v>33</v>
      </c>
      <c r="M85" t="s">
        <v>30</v>
      </c>
      <c r="N85">
        <v>78000</v>
      </c>
    </row>
    <row r="86" spans="1:14">
      <c r="A86" t="s">
        <v>13</v>
      </c>
      <c r="B86" t="s">
        <v>251</v>
      </c>
      <c r="C86">
        <v>32000</v>
      </c>
      <c r="D86">
        <v>68</v>
      </c>
      <c r="E86">
        <v>21162</v>
      </c>
      <c r="F86" t="s">
        <v>79</v>
      </c>
      <c r="G86" t="s">
        <v>80</v>
      </c>
      <c r="H86" s="15">
        <v>11500</v>
      </c>
      <c r="I86">
        <v>17500</v>
      </c>
      <c r="J86" t="s">
        <v>38</v>
      </c>
      <c r="K86">
        <v>19</v>
      </c>
      <c r="M86" t="s">
        <v>38</v>
      </c>
      <c r="N86">
        <v>26000</v>
      </c>
    </row>
    <row r="87" spans="1:14">
      <c r="A87" t="s">
        <v>13</v>
      </c>
      <c r="B87" t="s">
        <v>252</v>
      </c>
      <c r="C87" t="s">
        <v>253</v>
      </c>
      <c r="D87">
        <v>37</v>
      </c>
      <c r="E87">
        <v>32412</v>
      </c>
      <c r="F87" t="s">
        <v>100</v>
      </c>
      <c r="G87" t="s">
        <v>115</v>
      </c>
      <c r="H87">
        <v>24700</v>
      </c>
      <c r="I87" s="14">
        <v>23000</v>
      </c>
      <c r="J87" t="s">
        <v>18</v>
      </c>
      <c r="K87" t="s">
        <v>254</v>
      </c>
      <c r="M87" t="s">
        <v>18</v>
      </c>
      <c r="N87">
        <v>37500</v>
      </c>
    </row>
    <row r="88" spans="1:14">
      <c r="A88" t="s">
        <v>13</v>
      </c>
      <c r="B88" t="s">
        <v>255</v>
      </c>
      <c r="C88" t="s">
        <v>256</v>
      </c>
      <c r="D88">
        <v>62</v>
      </c>
      <c r="E88">
        <v>23488</v>
      </c>
      <c r="F88" t="s">
        <v>16</v>
      </c>
      <c r="G88" t="s">
        <v>17</v>
      </c>
      <c r="H88" t="s">
        <v>123</v>
      </c>
      <c r="I88" t="s">
        <v>29</v>
      </c>
      <c r="J88" t="s">
        <v>38</v>
      </c>
      <c r="K88" t="s">
        <v>191</v>
      </c>
      <c r="M88" t="s">
        <v>38</v>
      </c>
      <c r="N88">
        <v>72000</v>
      </c>
    </row>
    <row r="89" spans="1:14">
      <c r="A89" t="s">
        <v>13</v>
      </c>
      <c r="B89" t="s">
        <v>257</v>
      </c>
      <c r="C89" t="s">
        <v>258</v>
      </c>
      <c r="D89" t="s">
        <v>259</v>
      </c>
      <c r="E89">
        <v>37491</v>
      </c>
      <c r="F89" t="s">
        <v>122</v>
      </c>
      <c r="G89" t="s">
        <v>237</v>
      </c>
      <c r="H89" s="14">
        <v>8900</v>
      </c>
      <c r="I89">
        <v>19500</v>
      </c>
      <c r="J89" t="s">
        <v>18</v>
      </c>
      <c r="K89">
        <v>33</v>
      </c>
      <c r="M89" t="s">
        <v>18</v>
      </c>
      <c r="N89">
        <v>96500</v>
      </c>
    </row>
    <row r="90" spans="1:14">
      <c r="A90" t="s">
        <v>13</v>
      </c>
      <c r="B90" t="s">
        <v>260</v>
      </c>
      <c r="C90" t="s">
        <v>261</v>
      </c>
      <c r="D90">
        <v>35</v>
      </c>
      <c r="F90" t="s">
        <v>86</v>
      </c>
      <c r="G90" t="s">
        <v>87</v>
      </c>
      <c r="H90">
        <v>28000</v>
      </c>
      <c r="I90" t="s">
        <v>262</v>
      </c>
      <c r="J90" t="s">
        <v>38</v>
      </c>
      <c r="K90">
        <v>39</v>
      </c>
      <c r="M90" t="s">
        <v>38</v>
      </c>
      <c r="N90">
        <v>32000</v>
      </c>
    </row>
    <row r="91" spans="1:14">
      <c r="A91" t="s">
        <v>13</v>
      </c>
      <c r="B91" t="s">
        <v>263</v>
      </c>
      <c r="C91" t="s">
        <v>264</v>
      </c>
      <c r="D91">
        <v>40</v>
      </c>
      <c r="E91">
        <v>31408</v>
      </c>
      <c r="F91" t="s">
        <v>265</v>
      </c>
      <c r="H91">
        <v>17400</v>
      </c>
      <c r="I91" s="15">
        <v>53000</v>
      </c>
      <c r="J91" t="s">
        <v>18</v>
      </c>
      <c r="K91">
        <v>20</v>
      </c>
      <c r="M91" t="s">
        <v>18</v>
      </c>
      <c r="N91">
        <v>52500</v>
      </c>
    </row>
    <row r="92" spans="1:14">
      <c r="A92" t="s">
        <v>112</v>
      </c>
      <c r="B92" t="s">
        <v>266</v>
      </c>
      <c r="C92" t="s">
        <v>267</v>
      </c>
      <c r="D92">
        <v>59</v>
      </c>
      <c r="E92">
        <v>24362</v>
      </c>
      <c r="F92" t="s">
        <v>108</v>
      </c>
      <c r="G92" t="s">
        <v>80</v>
      </c>
      <c r="H92">
        <v>18900</v>
      </c>
      <c r="I92">
        <v>1000</v>
      </c>
      <c r="J92" t="s">
        <v>120</v>
      </c>
      <c r="K92">
        <v>42</v>
      </c>
      <c r="M92" t="s">
        <v>120</v>
      </c>
      <c r="N92">
        <v>16500</v>
      </c>
    </row>
    <row r="93" spans="1:14">
      <c r="A93" t="s">
        <v>19</v>
      </c>
      <c r="B93" t="s">
        <v>268</v>
      </c>
      <c r="C93" t="s">
        <v>269</v>
      </c>
      <c r="E93">
        <v>19672</v>
      </c>
      <c r="F93" t="s">
        <v>122</v>
      </c>
      <c r="G93" t="s">
        <v>122</v>
      </c>
      <c r="H93">
        <v>21000</v>
      </c>
      <c r="I93">
        <v>0</v>
      </c>
      <c r="J93" t="s">
        <v>129</v>
      </c>
      <c r="K93">
        <v>11</v>
      </c>
      <c r="M93" t="s">
        <v>129</v>
      </c>
      <c r="N93">
        <v>75500</v>
      </c>
    </row>
    <row r="94" spans="1:14">
      <c r="A94" t="s">
        <v>13</v>
      </c>
      <c r="B94" t="s">
        <v>270</v>
      </c>
      <c r="C94" t="s">
        <v>271</v>
      </c>
      <c r="D94">
        <v>42</v>
      </c>
      <c r="E94" s="1">
        <v>30666</v>
      </c>
      <c r="F94" t="s">
        <v>26</v>
      </c>
      <c r="G94" t="s">
        <v>272</v>
      </c>
      <c r="H94">
        <v>6000</v>
      </c>
      <c r="I94" s="14">
        <v>55000</v>
      </c>
      <c r="J94" t="s">
        <v>38</v>
      </c>
      <c r="K94">
        <v>5</v>
      </c>
      <c r="M94" t="s">
        <v>38</v>
      </c>
      <c r="N94">
        <v>10000</v>
      </c>
    </row>
    <row r="95" spans="1:14">
      <c r="A95" t="s">
        <v>13</v>
      </c>
      <c r="B95" t="s">
        <v>273</v>
      </c>
      <c r="C95" t="s">
        <v>274</v>
      </c>
      <c r="D95">
        <v>60</v>
      </c>
      <c r="E95" s="1">
        <v>24082</v>
      </c>
      <c r="F95" t="s">
        <v>183</v>
      </c>
      <c r="G95" t="s">
        <v>184</v>
      </c>
      <c r="H95" s="15">
        <v>13800</v>
      </c>
      <c r="I95">
        <v>45500</v>
      </c>
      <c r="J95" t="s">
        <v>38</v>
      </c>
      <c r="K95">
        <v>30</v>
      </c>
      <c r="M95" t="s">
        <v>38</v>
      </c>
      <c r="N95">
        <v>17500</v>
      </c>
    </row>
    <row r="96" spans="1:14">
      <c r="A96" t="s">
        <v>13</v>
      </c>
      <c r="B96" t="s">
        <v>275</v>
      </c>
      <c r="C96" t="s">
        <v>276</v>
      </c>
      <c r="D96">
        <v>36</v>
      </c>
      <c r="E96">
        <v>32791</v>
      </c>
      <c r="F96" t="s">
        <v>111</v>
      </c>
      <c r="G96" t="s">
        <v>151</v>
      </c>
      <c r="H96">
        <v>23900</v>
      </c>
      <c r="I96">
        <v>58000</v>
      </c>
      <c r="J96" t="s">
        <v>38</v>
      </c>
      <c r="K96">
        <v>27</v>
      </c>
      <c r="M96" t="s">
        <v>38</v>
      </c>
      <c r="N96">
        <v>38000</v>
      </c>
    </row>
    <row r="97" spans="1:14">
      <c r="A97" t="s">
        <v>13</v>
      </c>
      <c r="B97" t="s">
        <v>277</v>
      </c>
      <c r="C97" t="s">
        <v>278</v>
      </c>
      <c r="D97">
        <v>74</v>
      </c>
      <c r="E97">
        <v>19121</v>
      </c>
      <c r="F97" t="s">
        <v>79</v>
      </c>
      <c r="G97" t="s">
        <v>80</v>
      </c>
      <c r="H97">
        <v>7300</v>
      </c>
      <c r="I97">
        <v>1000</v>
      </c>
      <c r="J97" t="s">
        <v>38</v>
      </c>
      <c r="K97">
        <v>3</v>
      </c>
      <c r="M97" t="s">
        <v>38</v>
      </c>
      <c r="N97">
        <v>50500</v>
      </c>
    </row>
    <row r="98" spans="1:14">
      <c r="A98" t="s">
        <v>112</v>
      </c>
      <c r="B98" t="s">
        <v>279</v>
      </c>
      <c r="C98">
        <v>20700</v>
      </c>
      <c r="D98">
        <v>66</v>
      </c>
      <c r="E98" s="1">
        <v>22151</v>
      </c>
      <c r="F98" t="s">
        <v>153</v>
      </c>
      <c r="H98" t="s">
        <v>280</v>
      </c>
      <c r="I98">
        <v>16000</v>
      </c>
      <c r="J98" t="s">
        <v>18</v>
      </c>
      <c r="K98">
        <v>44</v>
      </c>
      <c r="M98" t="s">
        <v>18</v>
      </c>
      <c r="N98">
        <v>59000</v>
      </c>
    </row>
    <row r="99" spans="1:14">
      <c r="A99" t="s">
        <v>13</v>
      </c>
      <c r="B99" t="s">
        <v>281</v>
      </c>
      <c r="C99" t="s">
        <v>282</v>
      </c>
      <c r="D99">
        <v>34</v>
      </c>
      <c r="E99">
        <v>33835</v>
      </c>
      <c r="F99" t="s">
        <v>283</v>
      </c>
      <c r="H99">
        <v>5100</v>
      </c>
      <c r="I99">
        <v>17000</v>
      </c>
      <c r="J99" t="s">
        <v>38</v>
      </c>
      <c r="K99" t="s">
        <v>284</v>
      </c>
      <c r="M99" t="s">
        <v>38</v>
      </c>
      <c r="N99">
        <v>4500</v>
      </c>
    </row>
    <row r="100" spans="1:14">
      <c r="A100" t="s">
        <v>13</v>
      </c>
      <c r="B100" t="s">
        <v>251</v>
      </c>
      <c r="C100" t="s">
        <v>285</v>
      </c>
      <c r="D100">
        <v>65</v>
      </c>
      <c r="E100" s="1">
        <v>22436</v>
      </c>
      <c r="F100" t="s">
        <v>16</v>
      </c>
      <c r="G100" t="s">
        <v>37</v>
      </c>
      <c r="H100">
        <v>12700</v>
      </c>
      <c r="I100" s="14">
        <v>60500</v>
      </c>
      <c r="J100" t="s">
        <v>38</v>
      </c>
      <c r="K100">
        <v>36</v>
      </c>
      <c r="M100" t="s">
        <v>38</v>
      </c>
      <c r="N100">
        <v>28000</v>
      </c>
    </row>
    <row r="101" spans="1:14">
      <c r="A101" t="s">
        <v>19</v>
      </c>
      <c r="B101" t="s">
        <v>286</v>
      </c>
      <c r="C101" t="s">
        <v>287</v>
      </c>
      <c r="D101">
        <v>68</v>
      </c>
      <c r="E101" s="1">
        <v>21205</v>
      </c>
      <c r="F101" t="s">
        <v>111</v>
      </c>
      <c r="G101" t="s">
        <v>87</v>
      </c>
      <c r="H101">
        <v>8200</v>
      </c>
      <c r="I101" s="14">
        <v>66000</v>
      </c>
      <c r="J101" t="s">
        <v>38</v>
      </c>
      <c r="K101">
        <v>16</v>
      </c>
      <c r="M101" t="s">
        <v>38</v>
      </c>
      <c r="N101">
        <v>84000</v>
      </c>
    </row>
    <row r="102" spans="1:14">
      <c r="A102" t="s">
        <v>19</v>
      </c>
      <c r="B102" t="s">
        <v>288</v>
      </c>
      <c r="C102" t="s">
        <v>289</v>
      </c>
      <c r="D102">
        <v>59</v>
      </c>
      <c r="E102" s="1">
        <v>24554</v>
      </c>
      <c r="F102" t="s">
        <v>59</v>
      </c>
      <c r="G102" t="s">
        <v>60</v>
      </c>
      <c r="H102" s="14">
        <v>15200</v>
      </c>
      <c r="I102">
        <v>11000</v>
      </c>
      <c r="J102" t="s">
        <v>185</v>
      </c>
      <c r="K102">
        <v>27</v>
      </c>
      <c r="M102" t="s">
        <v>185</v>
      </c>
      <c r="N102">
        <v>87000</v>
      </c>
    </row>
    <row r="103" spans="1:14">
      <c r="A103" t="s">
        <v>13</v>
      </c>
      <c r="B103" t="s">
        <v>290</v>
      </c>
      <c r="C103" t="s">
        <v>291</v>
      </c>
      <c r="D103">
        <v>29</v>
      </c>
      <c r="E103">
        <v>35600</v>
      </c>
      <c r="F103" t="s">
        <v>163</v>
      </c>
      <c r="G103" t="s">
        <v>272</v>
      </c>
      <c r="H103">
        <v>10000</v>
      </c>
      <c r="I103">
        <v>25500</v>
      </c>
      <c r="J103" t="s">
        <v>38</v>
      </c>
      <c r="K103">
        <v>15</v>
      </c>
      <c r="M103" t="s">
        <v>38</v>
      </c>
      <c r="N103">
        <v>66000</v>
      </c>
    </row>
    <row r="104" spans="1:14">
      <c r="A104" t="s">
        <v>13</v>
      </c>
      <c r="B104" t="s">
        <v>292</v>
      </c>
      <c r="C104" t="s">
        <v>293</v>
      </c>
      <c r="D104">
        <v>69</v>
      </c>
      <c r="E104">
        <v>20725</v>
      </c>
      <c r="F104" t="s">
        <v>76</v>
      </c>
      <c r="G104" t="s">
        <v>294</v>
      </c>
      <c r="H104">
        <v>8100</v>
      </c>
      <c r="I104">
        <v>27500</v>
      </c>
      <c r="J104" t="s">
        <v>185</v>
      </c>
      <c r="K104">
        <v>42</v>
      </c>
      <c r="M104" t="s">
        <v>185</v>
      </c>
      <c r="N104">
        <v>72500</v>
      </c>
    </row>
    <row r="105" spans="1:14">
      <c r="A105" t="s">
        <v>13</v>
      </c>
      <c r="B105" t="s">
        <v>230</v>
      </c>
      <c r="C105" t="s">
        <v>231</v>
      </c>
      <c r="D105">
        <v>37</v>
      </c>
      <c r="E105">
        <v>32543</v>
      </c>
      <c r="F105" t="s">
        <v>86</v>
      </c>
      <c r="G105" t="s">
        <v>87</v>
      </c>
      <c r="H105">
        <v>29200</v>
      </c>
      <c r="I105" s="14">
        <v>45000</v>
      </c>
      <c r="J105" t="s">
        <v>38</v>
      </c>
      <c r="K105">
        <v>26</v>
      </c>
      <c r="M105" t="s">
        <v>38</v>
      </c>
      <c r="N105">
        <v>78000</v>
      </c>
    </row>
    <row r="106" spans="1:14">
      <c r="A106" t="s">
        <v>19</v>
      </c>
      <c r="B106" t="s">
        <v>295</v>
      </c>
      <c r="C106" t="s">
        <v>296</v>
      </c>
      <c r="D106">
        <v>30</v>
      </c>
      <c r="E106" s="1">
        <v>35200</v>
      </c>
      <c r="F106" t="s">
        <v>65</v>
      </c>
      <c r="G106" t="s">
        <v>197</v>
      </c>
      <c r="H106">
        <v>26500</v>
      </c>
      <c r="I106">
        <v>14500</v>
      </c>
      <c r="J106">
        <v>0</v>
      </c>
      <c r="K106">
        <v>15</v>
      </c>
      <c r="M106">
        <v>0</v>
      </c>
      <c r="N106">
        <v>65500</v>
      </c>
    </row>
    <row r="107" spans="1:14">
      <c r="A107" t="s">
        <v>13</v>
      </c>
      <c r="B107" t="s">
        <v>297</v>
      </c>
      <c r="C107" t="s">
        <v>298</v>
      </c>
      <c r="D107">
        <v>58</v>
      </c>
      <c r="E107">
        <v>24905</v>
      </c>
      <c r="F107" t="s">
        <v>59</v>
      </c>
      <c r="G107" t="s">
        <v>197</v>
      </c>
      <c r="H107" s="15">
        <v>12400</v>
      </c>
      <c r="I107" s="15">
        <v>21500</v>
      </c>
      <c r="J107" t="s">
        <v>18</v>
      </c>
      <c r="K107" t="s">
        <v>299</v>
      </c>
      <c r="M107" t="s">
        <v>18</v>
      </c>
      <c r="N107">
        <v>80000</v>
      </c>
    </row>
    <row r="108" spans="1:14">
      <c r="A108" t="s">
        <v>13</v>
      </c>
      <c r="B108" t="s">
        <v>300</v>
      </c>
      <c r="C108">
        <v>24000</v>
      </c>
      <c r="D108">
        <v>47</v>
      </c>
      <c r="E108" s="1">
        <v>29031</v>
      </c>
      <c r="F108" t="s">
        <v>301</v>
      </c>
      <c r="H108" s="15">
        <v>28400</v>
      </c>
      <c r="I108">
        <v>78000</v>
      </c>
      <c r="J108" t="s">
        <v>38</v>
      </c>
      <c r="K108">
        <v>37</v>
      </c>
      <c r="M108" t="s">
        <v>38</v>
      </c>
      <c r="N108">
        <v>99000</v>
      </c>
    </row>
    <row r="109" spans="1:14">
      <c r="A109" t="s">
        <v>13</v>
      </c>
      <c r="B109" t="s">
        <v>302</v>
      </c>
      <c r="C109" t="s">
        <v>303</v>
      </c>
      <c r="D109">
        <v>31</v>
      </c>
      <c r="E109" s="1">
        <v>34852</v>
      </c>
      <c r="F109" t="s">
        <v>153</v>
      </c>
      <c r="H109">
        <v>20500</v>
      </c>
      <c r="I109" s="14">
        <v>47500</v>
      </c>
      <c r="J109" t="s">
        <v>38</v>
      </c>
      <c r="K109">
        <v>11</v>
      </c>
      <c r="M109" t="s">
        <v>38</v>
      </c>
      <c r="N109">
        <v>18500</v>
      </c>
    </row>
    <row r="110" spans="1:14">
      <c r="A110" t="s">
        <v>304</v>
      </c>
      <c r="B110" t="s">
        <v>305</v>
      </c>
      <c r="C110" t="s">
        <v>306</v>
      </c>
      <c r="D110">
        <v>63</v>
      </c>
      <c r="E110">
        <v>23084</v>
      </c>
      <c r="F110" t="s">
        <v>86</v>
      </c>
      <c r="G110" t="s">
        <v>87</v>
      </c>
      <c r="H110">
        <v>17300</v>
      </c>
      <c r="I110">
        <v>22000</v>
      </c>
      <c r="J110" t="s">
        <v>38</v>
      </c>
      <c r="K110">
        <v>10</v>
      </c>
      <c r="M110" t="s">
        <v>38</v>
      </c>
      <c r="N110">
        <v>97000</v>
      </c>
    </row>
    <row r="111" spans="1:14">
      <c r="A111" t="s">
        <v>13</v>
      </c>
      <c r="B111" t="s">
        <v>307</v>
      </c>
      <c r="C111">
        <v>12700</v>
      </c>
      <c r="D111">
        <v>26</v>
      </c>
      <c r="E111" s="1">
        <v>36518</v>
      </c>
      <c r="F111" t="s">
        <v>92</v>
      </c>
      <c r="G111" t="s">
        <v>80</v>
      </c>
      <c r="H111" s="14">
        <v>5000</v>
      </c>
      <c r="I111" t="s">
        <v>308</v>
      </c>
      <c r="J111" t="s">
        <v>38</v>
      </c>
      <c r="K111">
        <v>35</v>
      </c>
      <c r="M111" t="s">
        <v>38</v>
      </c>
      <c r="N111">
        <v>18500</v>
      </c>
    </row>
    <row r="112" spans="1:14">
      <c r="A112" t="s">
        <v>13</v>
      </c>
      <c r="B112" t="s">
        <v>309</v>
      </c>
      <c r="C112">
        <v>18000</v>
      </c>
      <c r="D112">
        <v>29</v>
      </c>
      <c r="E112">
        <v>35344</v>
      </c>
      <c r="F112" t="s">
        <v>16</v>
      </c>
      <c r="G112" t="s">
        <v>37</v>
      </c>
      <c r="H112">
        <v>19900</v>
      </c>
      <c r="I112">
        <v>49500</v>
      </c>
      <c r="J112" t="s">
        <v>18</v>
      </c>
      <c r="K112">
        <v>27</v>
      </c>
      <c r="M112" t="s">
        <v>18</v>
      </c>
      <c r="N112">
        <v>23000</v>
      </c>
    </row>
    <row r="113" spans="1:14">
      <c r="A113" t="s">
        <v>13</v>
      </c>
      <c r="B113" t="s">
        <v>310</v>
      </c>
      <c r="C113" t="s">
        <v>311</v>
      </c>
      <c r="D113">
        <v>51</v>
      </c>
      <c r="E113" s="1">
        <v>27413</v>
      </c>
      <c r="F113" t="s">
        <v>100</v>
      </c>
      <c r="G113" t="s">
        <v>93</v>
      </c>
      <c r="H113">
        <v>18500</v>
      </c>
      <c r="I113" s="15">
        <v>69500</v>
      </c>
      <c r="J113" t="s">
        <v>38</v>
      </c>
      <c r="K113" t="s">
        <v>312</v>
      </c>
      <c r="M113" t="s">
        <v>38</v>
      </c>
      <c r="N113">
        <v>18000</v>
      </c>
    </row>
    <row r="114" spans="1:14">
      <c r="A114" t="s">
        <v>13</v>
      </c>
      <c r="B114" t="s">
        <v>313</v>
      </c>
      <c r="C114" t="s">
        <v>314</v>
      </c>
      <c r="D114">
        <v>46</v>
      </c>
      <c r="E114" s="1">
        <v>29197</v>
      </c>
      <c r="F114" t="s">
        <v>59</v>
      </c>
      <c r="G114" t="s">
        <v>60</v>
      </c>
      <c r="H114">
        <v>3200</v>
      </c>
      <c r="I114">
        <v>0</v>
      </c>
      <c r="J114" t="s">
        <v>38</v>
      </c>
      <c r="K114">
        <v>16</v>
      </c>
      <c r="M114" t="s">
        <v>38</v>
      </c>
      <c r="N114">
        <v>61500</v>
      </c>
    </row>
    <row r="115" spans="1:14">
      <c r="A115" t="s">
        <v>13</v>
      </c>
      <c r="B115" t="s">
        <v>315</v>
      </c>
      <c r="C115" t="s">
        <v>316</v>
      </c>
      <c r="D115">
        <v>65</v>
      </c>
      <c r="E115" s="1">
        <v>22505</v>
      </c>
      <c r="F115" t="s">
        <v>92</v>
      </c>
      <c r="G115" t="s">
        <v>80</v>
      </c>
      <c r="H115" s="14">
        <v>29000</v>
      </c>
      <c r="I115">
        <v>28500</v>
      </c>
      <c r="J115" t="s">
        <v>38</v>
      </c>
      <c r="K115">
        <v>28</v>
      </c>
      <c r="M115" t="s">
        <v>38</v>
      </c>
      <c r="N115">
        <v>57500</v>
      </c>
    </row>
    <row r="116" spans="1:14">
      <c r="A116" t="s">
        <v>13</v>
      </c>
      <c r="B116" t="s">
        <v>317</v>
      </c>
      <c r="C116" t="s">
        <v>318</v>
      </c>
      <c r="D116">
        <v>26</v>
      </c>
      <c r="E116">
        <v>36475</v>
      </c>
      <c r="F116" t="s">
        <v>319</v>
      </c>
      <c r="H116">
        <v>13900</v>
      </c>
      <c r="I116" s="14">
        <v>53500</v>
      </c>
      <c r="J116" t="s">
        <v>38</v>
      </c>
      <c r="K116">
        <v>12</v>
      </c>
      <c r="M116" t="s">
        <v>38</v>
      </c>
      <c r="N116">
        <v>85000</v>
      </c>
    </row>
    <row r="117" spans="1:14">
      <c r="A117" t="s">
        <v>19</v>
      </c>
      <c r="B117" t="s">
        <v>320</v>
      </c>
      <c r="C117" t="s">
        <v>321</v>
      </c>
      <c r="D117">
        <v>63</v>
      </c>
      <c r="E117">
        <v>22994</v>
      </c>
      <c r="F117" t="s">
        <v>50</v>
      </c>
      <c r="G117" t="s">
        <v>56</v>
      </c>
      <c r="H117">
        <v>20000</v>
      </c>
      <c r="I117" s="14">
        <v>29500</v>
      </c>
      <c r="J117" t="s">
        <v>38</v>
      </c>
      <c r="K117">
        <v>42</v>
      </c>
      <c r="M117" t="s">
        <v>38</v>
      </c>
      <c r="N117">
        <v>5000</v>
      </c>
    </row>
    <row r="118" spans="1:14">
      <c r="A118" t="s">
        <v>13</v>
      </c>
      <c r="B118" t="s">
        <v>322</v>
      </c>
      <c r="C118">
        <v>27900</v>
      </c>
      <c r="D118">
        <v>71</v>
      </c>
      <c r="E118" s="1">
        <v>20094</v>
      </c>
      <c r="F118" t="s">
        <v>155</v>
      </c>
      <c r="G118" t="s">
        <v>87</v>
      </c>
      <c r="H118">
        <v>24100</v>
      </c>
      <c r="I118">
        <v>0</v>
      </c>
      <c r="J118" t="s">
        <v>185</v>
      </c>
      <c r="K118">
        <v>10</v>
      </c>
      <c r="M118" t="s">
        <v>185</v>
      </c>
      <c r="N118">
        <v>87000</v>
      </c>
    </row>
    <row r="119" spans="1:14">
      <c r="A119" t="s">
        <v>13</v>
      </c>
      <c r="B119" t="s">
        <v>323</v>
      </c>
      <c r="D119">
        <v>73</v>
      </c>
      <c r="E119">
        <v>19538</v>
      </c>
      <c r="F119" t="s">
        <v>26</v>
      </c>
      <c r="G119" t="s">
        <v>272</v>
      </c>
      <c r="H119">
        <v>12700</v>
      </c>
      <c r="I119" s="14">
        <v>79500</v>
      </c>
      <c r="J119" t="s">
        <v>38</v>
      </c>
      <c r="K119">
        <v>35</v>
      </c>
      <c r="M119" t="s">
        <v>38</v>
      </c>
      <c r="N119">
        <v>39000</v>
      </c>
    </row>
    <row r="120" spans="1:14">
      <c r="A120" t="s">
        <v>13</v>
      </c>
      <c r="B120" t="s">
        <v>324</v>
      </c>
      <c r="C120">
        <v>26400</v>
      </c>
      <c r="D120">
        <v>57</v>
      </c>
      <c r="E120">
        <v>25238</v>
      </c>
      <c r="F120" t="s">
        <v>319</v>
      </c>
      <c r="H120">
        <v>3200</v>
      </c>
      <c r="J120" t="s">
        <v>38</v>
      </c>
      <c r="K120">
        <v>18</v>
      </c>
      <c r="M120" t="s">
        <v>38</v>
      </c>
      <c r="N120">
        <v>64000</v>
      </c>
    </row>
    <row r="121" spans="1:14">
      <c r="A121" t="s">
        <v>13</v>
      </c>
      <c r="B121" t="s">
        <v>325</v>
      </c>
      <c r="C121">
        <v>9900</v>
      </c>
      <c r="D121">
        <v>64</v>
      </c>
      <c r="E121" s="1">
        <v>22828</v>
      </c>
      <c r="F121" t="s">
        <v>107</v>
      </c>
      <c r="G121" t="s">
        <v>84</v>
      </c>
      <c r="H121" s="14">
        <v>2900</v>
      </c>
      <c r="I121" s="14">
        <v>76000</v>
      </c>
      <c r="J121" t="s">
        <v>38</v>
      </c>
      <c r="K121">
        <v>32</v>
      </c>
      <c r="M121" t="s">
        <v>38</v>
      </c>
      <c r="N121">
        <v>72500</v>
      </c>
    </row>
    <row r="122" spans="1:14">
      <c r="A122" t="s">
        <v>19</v>
      </c>
      <c r="B122" t="s">
        <v>326</v>
      </c>
      <c r="C122">
        <v>16000</v>
      </c>
      <c r="D122">
        <v>73</v>
      </c>
      <c r="E122" s="1">
        <v>19299</v>
      </c>
      <c r="F122" t="s">
        <v>21</v>
      </c>
      <c r="G122" t="s">
        <v>73</v>
      </c>
      <c r="H122">
        <v>7100</v>
      </c>
      <c r="I122" s="14">
        <v>58000</v>
      </c>
      <c r="J122" t="s">
        <v>18</v>
      </c>
      <c r="K122">
        <v>22</v>
      </c>
      <c r="M122" t="s">
        <v>18</v>
      </c>
      <c r="N122">
        <v>46500</v>
      </c>
    </row>
    <row r="123" spans="1:14">
      <c r="A123" t="s">
        <v>13</v>
      </c>
      <c r="B123" t="s">
        <v>327</v>
      </c>
      <c r="C123" t="s">
        <v>328</v>
      </c>
      <c r="D123">
        <v>28</v>
      </c>
      <c r="E123" s="1">
        <v>35993</v>
      </c>
      <c r="F123" t="s">
        <v>41</v>
      </c>
      <c r="G123" t="s">
        <v>46</v>
      </c>
      <c r="H123" s="14">
        <v>13400</v>
      </c>
      <c r="I123" s="14">
        <v>54000</v>
      </c>
      <c r="J123" t="s">
        <v>38</v>
      </c>
      <c r="K123">
        <v>15</v>
      </c>
      <c r="M123" t="s">
        <v>38</v>
      </c>
      <c r="N123">
        <v>99000</v>
      </c>
    </row>
    <row r="124" spans="1:14">
      <c r="A124" t="s">
        <v>13</v>
      </c>
      <c r="B124" t="s">
        <v>329</v>
      </c>
      <c r="C124" t="s">
        <v>330</v>
      </c>
      <c r="D124">
        <v>26</v>
      </c>
      <c r="E124">
        <v>36622</v>
      </c>
      <c r="F124" t="s">
        <v>122</v>
      </c>
      <c r="G124" t="s">
        <v>122</v>
      </c>
      <c r="H124" t="s">
        <v>331</v>
      </c>
      <c r="I124" s="14">
        <v>65500</v>
      </c>
      <c r="J124" t="s">
        <v>332</v>
      </c>
      <c r="K124">
        <v>40</v>
      </c>
      <c r="M124" t="s">
        <v>332</v>
      </c>
      <c r="N124">
        <v>95500</v>
      </c>
    </row>
    <row r="125" spans="1:14">
      <c r="A125" t="s">
        <v>13</v>
      </c>
      <c r="B125" t="s">
        <v>333</v>
      </c>
      <c r="C125" t="s">
        <v>334</v>
      </c>
      <c r="D125">
        <v>69</v>
      </c>
      <c r="E125" s="1">
        <v>21051</v>
      </c>
      <c r="F125" t="s">
        <v>21</v>
      </c>
      <c r="G125" t="s">
        <v>22</v>
      </c>
      <c r="H125" t="s">
        <v>335</v>
      </c>
      <c r="I125">
        <v>40500</v>
      </c>
      <c r="J125" t="s">
        <v>38</v>
      </c>
      <c r="K125">
        <v>43</v>
      </c>
      <c r="M125" t="s">
        <v>38</v>
      </c>
      <c r="N125">
        <v>24500</v>
      </c>
    </row>
    <row r="126" spans="1:14">
      <c r="A126" t="s">
        <v>13</v>
      </c>
      <c r="B126" t="s">
        <v>336</v>
      </c>
      <c r="C126" t="s">
        <v>337</v>
      </c>
      <c r="D126">
        <v>67</v>
      </c>
      <c r="E126" s="1">
        <v>21624</v>
      </c>
      <c r="F126" t="s">
        <v>108</v>
      </c>
      <c r="G126" t="s">
        <v>93</v>
      </c>
      <c r="H126">
        <v>8500</v>
      </c>
      <c r="I126" s="14">
        <v>39500</v>
      </c>
      <c r="J126" t="s">
        <v>18</v>
      </c>
      <c r="M126" t="s">
        <v>18</v>
      </c>
      <c r="N126">
        <v>42000</v>
      </c>
    </row>
    <row r="127" spans="1:14">
      <c r="A127" t="s">
        <v>13</v>
      </c>
      <c r="B127" t="s">
        <v>338</v>
      </c>
      <c r="C127" t="s">
        <v>339</v>
      </c>
      <c r="D127">
        <v>53</v>
      </c>
      <c r="E127" s="1">
        <v>26584</v>
      </c>
      <c r="F127" t="s">
        <v>100</v>
      </c>
      <c r="G127" t="s">
        <v>80</v>
      </c>
      <c r="H127">
        <v>12200</v>
      </c>
      <c r="I127" s="14">
        <v>79500</v>
      </c>
      <c r="J127" t="s">
        <v>129</v>
      </c>
      <c r="K127">
        <v>45</v>
      </c>
      <c r="M127" t="s">
        <v>129</v>
      </c>
      <c r="N127">
        <v>57000</v>
      </c>
    </row>
    <row r="128" spans="1:14">
      <c r="A128" t="s">
        <v>13</v>
      </c>
      <c r="B128" t="s">
        <v>340</v>
      </c>
      <c r="C128" t="s">
        <v>341</v>
      </c>
      <c r="D128">
        <v>55</v>
      </c>
      <c r="E128">
        <v>25880</v>
      </c>
      <c r="F128" t="s">
        <v>21</v>
      </c>
      <c r="G128" t="s">
        <v>22</v>
      </c>
      <c r="H128">
        <v>27500</v>
      </c>
      <c r="I128">
        <v>14000</v>
      </c>
      <c r="J128" t="s">
        <v>38</v>
      </c>
      <c r="K128">
        <v>3</v>
      </c>
      <c r="M128" t="s">
        <v>38</v>
      </c>
      <c r="N128">
        <v>11500</v>
      </c>
    </row>
    <row r="129" spans="1:14">
      <c r="A129" t="s">
        <v>13</v>
      </c>
      <c r="B129" t="s">
        <v>277</v>
      </c>
      <c r="C129">
        <v>8900</v>
      </c>
      <c r="E129" s="1">
        <v>33473</v>
      </c>
      <c r="F129" t="s">
        <v>183</v>
      </c>
      <c r="G129" t="s">
        <v>184</v>
      </c>
      <c r="H129">
        <v>24000</v>
      </c>
      <c r="I129">
        <v>0</v>
      </c>
      <c r="J129" t="s">
        <v>18</v>
      </c>
      <c r="K129">
        <v>3</v>
      </c>
      <c r="M129" t="s">
        <v>18</v>
      </c>
      <c r="N129">
        <v>60000</v>
      </c>
    </row>
    <row r="130" spans="1:14">
      <c r="A130" t="s">
        <v>19</v>
      </c>
      <c r="B130" t="s">
        <v>218</v>
      </c>
      <c r="C130">
        <v>8300</v>
      </c>
      <c r="D130">
        <v>31</v>
      </c>
      <c r="E130">
        <v>34828</v>
      </c>
      <c r="F130" t="s">
        <v>163</v>
      </c>
      <c r="G130" t="s">
        <v>27</v>
      </c>
      <c r="H130" s="15">
        <v>24900</v>
      </c>
      <c r="I130">
        <v>72000</v>
      </c>
      <c r="J130" t="s">
        <v>38</v>
      </c>
      <c r="K130">
        <v>35</v>
      </c>
      <c r="M130" t="s">
        <v>38</v>
      </c>
      <c r="N130">
        <v>79000</v>
      </c>
    </row>
    <row r="131" spans="1:14">
      <c r="A131" t="s">
        <v>13</v>
      </c>
      <c r="B131" t="s">
        <v>342</v>
      </c>
      <c r="C131">
        <v>3800</v>
      </c>
      <c r="D131">
        <v>41</v>
      </c>
      <c r="E131" s="1">
        <v>30992</v>
      </c>
      <c r="F131" t="s">
        <v>41</v>
      </c>
      <c r="G131" t="s">
        <v>343</v>
      </c>
      <c r="H131" s="15">
        <v>28600</v>
      </c>
      <c r="I131" s="14">
        <v>67500</v>
      </c>
      <c r="J131" t="s">
        <v>38</v>
      </c>
      <c r="K131">
        <v>39</v>
      </c>
      <c r="M131" t="s">
        <v>38</v>
      </c>
      <c r="N131">
        <v>22000</v>
      </c>
    </row>
    <row r="132" spans="1:14">
      <c r="A132" t="s">
        <v>13</v>
      </c>
      <c r="B132" t="s">
        <v>344</v>
      </c>
      <c r="C132" t="s">
        <v>345</v>
      </c>
      <c r="D132">
        <v>56</v>
      </c>
      <c r="E132">
        <v>25671</v>
      </c>
      <c r="F132" t="s">
        <v>107</v>
      </c>
      <c r="G132" t="s">
        <v>77</v>
      </c>
      <c r="H132">
        <v>28300</v>
      </c>
      <c r="I132">
        <v>56000</v>
      </c>
      <c r="J132" t="s">
        <v>38</v>
      </c>
      <c r="K132">
        <v>6</v>
      </c>
      <c r="M132" t="s">
        <v>38</v>
      </c>
      <c r="N132">
        <v>77000</v>
      </c>
    </row>
    <row r="133" spans="1:14">
      <c r="A133" t="s">
        <v>13</v>
      </c>
      <c r="B133" t="s">
        <v>346</v>
      </c>
      <c r="C133">
        <v>37700</v>
      </c>
      <c r="D133">
        <v>23</v>
      </c>
      <c r="E133" s="1">
        <v>37566</v>
      </c>
      <c r="F133" t="s">
        <v>65</v>
      </c>
      <c r="G133" t="s">
        <v>197</v>
      </c>
      <c r="H133">
        <v>2600</v>
      </c>
      <c r="I133">
        <v>0</v>
      </c>
      <c r="J133" t="s">
        <v>18</v>
      </c>
      <c r="K133">
        <v>30</v>
      </c>
      <c r="M133" t="s">
        <v>18</v>
      </c>
      <c r="N133">
        <v>11000</v>
      </c>
    </row>
    <row r="134" spans="1:14">
      <c r="A134" t="s">
        <v>13</v>
      </c>
      <c r="B134" t="s">
        <v>347</v>
      </c>
      <c r="C134" t="s">
        <v>348</v>
      </c>
      <c r="D134">
        <v>25</v>
      </c>
      <c r="E134">
        <v>37137</v>
      </c>
      <c r="F134" t="s">
        <v>16</v>
      </c>
      <c r="G134" t="s">
        <v>17</v>
      </c>
      <c r="I134" s="15">
        <v>21000</v>
      </c>
      <c r="J134" t="s">
        <v>38</v>
      </c>
      <c r="K134">
        <v>34</v>
      </c>
      <c r="M134" t="s">
        <v>38</v>
      </c>
      <c r="N134">
        <v>7500</v>
      </c>
    </row>
    <row r="135" spans="1:14">
      <c r="A135" t="s">
        <v>13</v>
      </c>
      <c r="B135" t="s">
        <v>349</v>
      </c>
      <c r="C135" t="s">
        <v>350</v>
      </c>
      <c r="D135">
        <v>57</v>
      </c>
      <c r="E135">
        <v>25199</v>
      </c>
      <c r="F135" t="s">
        <v>86</v>
      </c>
      <c r="G135" t="s">
        <v>151</v>
      </c>
      <c r="H135" s="14">
        <v>20700</v>
      </c>
      <c r="I135">
        <v>64500</v>
      </c>
      <c r="J135" t="s">
        <v>38</v>
      </c>
      <c r="K135" t="s">
        <v>351</v>
      </c>
      <c r="M135" t="s">
        <v>38</v>
      </c>
      <c r="N135">
        <v>54500</v>
      </c>
    </row>
    <row r="136" spans="1:14">
      <c r="A136" t="s">
        <v>198</v>
      </c>
      <c r="B136" t="s">
        <v>352</v>
      </c>
      <c r="C136" t="s">
        <v>353</v>
      </c>
      <c r="D136">
        <v>73</v>
      </c>
      <c r="E136" s="1">
        <v>19314</v>
      </c>
      <c r="F136" t="s">
        <v>26</v>
      </c>
      <c r="G136" t="s">
        <v>354</v>
      </c>
      <c r="H136">
        <v>6100</v>
      </c>
      <c r="I136" t="s">
        <v>355</v>
      </c>
      <c r="J136" t="s">
        <v>38</v>
      </c>
      <c r="K136">
        <v>9</v>
      </c>
      <c r="M136" t="s">
        <v>38</v>
      </c>
      <c r="N136">
        <v>24500</v>
      </c>
    </row>
    <row r="137" spans="1:14">
      <c r="A137" t="s">
        <v>13</v>
      </c>
      <c r="B137" t="s">
        <v>356</v>
      </c>
      <c r="C137">
        <v>37000</v>
      </c>
      <c r="D137">
        <v>24</v>
      </c>
      <c r="E137" s="1">
        <v>37290</v>
      </c>
      <c r="F137" t="s">
        <v>111</v>
      </c>
      <c r="G137" t="s">
        <v>156</v>
      </c>
      <c r="H137" s="14">
        <v>6400</v>
      </c>
      <c r="I137" s="15">
        <v>41000</v>
      </c>
      <c r="J137" t="s">
        <v>38</v>
      </c>
      <c r="K137">
        <v>22</v>
      </c>
      <c r="M137" t="s">
        <v>38</v>
      </c>
      <c r="N137">
        <v>74500</v>
      </c>
    </row>
    <row r="138" spans="1:14">
      <c r="A138" t="s">
        <v>43</v>
      </c>
      <c r="B138" t="s">
        <v>357</v>
      </c>
      <c r="C138" t="s">
        <v>358</v>
      </c>
      <c r="D138">
        <v>47</v>
      </c>
      <c r="F138" t="s">
        <v>65</v>
      </c>
      <c r="H138" s="15">
        <v>11600</v>
      </c>
      <c r="I138" s="15">
        <v>63500</v>
      </c>
      <c r="J138">
        <v>0</v>
      </c>
      <c r="K138">
        <v>18</v>
      </c>
      <c r="M138">
        <v>0</v>
      </c>
      <c r="N138">
        <v>3000</v>
      </c>
    </row>
    <row r="139" spans="1:14">
      <c r="A139" t="s">
        <v>19</v>
      </c>
      <c r="B139" t="s">
        <v>359</v>
      </c>
      <c r="C139" t="s">
        <v>360</v>
      </c>
      <c r="D139">
        <v>52</v>
      </c>
      <c r="E139">
        <v>27186</v>
      </c>
      <c r="F139" t="s">
        <v>21</v>
      </c>
      <c r="G139" t="s">
        <v>126</v>
      </c>
      <c r="H139">
        <v>6400</v>
      </c>
      <c r="I139">
        <v>37000</v>
      </c>
      <c r="J139" t="s">
        <v>38</v>
      </c>
      <c r="K139">
        <v>1</v>
      </c>
      <c r="M139" t="s">
        <v>38</v>
      </c>
      <c r="N139">
        <v>87000</v>
      </c>
    </row>
    <row r="140" spans="1:14">
      <c r="A140" t="s">
        <v>19</v>
      </c>
      <c r="B140" t="s">
        <v>361</v>
      </c>
      <c r="C140">
        <v>26700</v>
      </c>
      <c r="D140">
        <v>54</v>
      </c>
      <c r="E140">
        <v>26453</v>
      </c>
      <c r="F140" t="s">
        <v>183</v>
      </c>
      <c r="G140" t="s">
        <v>184</v>
      </c>
      <c r="H140">
        <v>3900</v>
      </c>
      <c r="I140">
        <v>80000</v>
      </c>
      <c r="J140" t="s">
        <v>38</v>
      </c>
      <c r="K140" t="s">
        <v>362</v>
      </c>
      <c r="M140" t="s">
        <v>38</v>
      </c>
      <c r="N140">
        <v>30000</v>
      </c>
    </row>
    <row r="141" spans="1:14">
      <c r="A141" t="s">
        <v>13</v>
      </c>
      <c r="B141" t="s">
        <v>363</v>
      </c>
      <c r="C141" t="s">
        <v>364</v>
      </c>
      <c r="D141">
        <v>45</v>
      </c>
      <c r="E141" s="1">
        <v>29598</v>
      </c>
      <c r="F141" t="s">
        <v>41</v>
      </c>
      <c r="G141" t="s">
        <v>132</v>
      </c>
      <c r="H141">
        <v>22800</v>
      </c>
      <c r="J141" t="s">
        <v>38</v>
      </c>
      <c r="K141">
        <v>10</v>
      </c>
      <c r="M141" t="s">
        <v>38</v>
      </c>
      <c r="N141">
        <v>31000</v>
      </c>
    </row>
    <row r="142" spans="1:14">
      <c r="A142" t="s">
        <v>13</v>
      </c>
      <c r="B142" t="s">
        <v>365</v>
      </c>
      <c r="C142">
        <v>35200</v>
      </c>
      <c r="D142">
        <v>65</v>
      </c>
      <c r="E142">
        <v>22337</v>
      </c>
      <c r="F142" t="s">
        <v>79</v>
      </c>
      <c r="G142" t="s">
        <v>80</v>
      </c>
      <c r="H142">
        <v>3800</v>
      </c>
      <c r="I142">
        <v>49500</v>
      </c>
      <c r="J142" t="s">
        <v>38</v>
      </c>
      <c r="K142">
        <v>16</v>
      </c>
      <c r="M142" t="s">
        <v>38</v>
      </c>
      <c r="N142">
        <v>15500</v>
      </c>
    </row>
    <row r="143" spans="1:14">
      <c r="A143" t="s">
        <v>13</v>
      </c>
      <c r="B143" t="s">
        <v>366</v>
      </c>
      <c r="C143" t="s">
        <v>367</v>
      </c>
      <c r="D143">
        <v>66</v>
      </c>
      <c r="E143">
        <v>22151</v>
      </c>
      <c r="F143" t="s">
        <v>86</v>
      </c>
      <c r="G143" t="s">
        <v>87</v>
      </c>
      <c r="H143">
        <v>11800</v>
      </c>
      <c r="I143" s="14">
        <v>2000</v>
      </c>
      <c r="J143" t="s">
        <v>18</v>
      </c>
      <c r="K143">
        <v>23</v>
      </c>
      <c r="M143" t="s">
        <v>18</v>
      </c>
      <c r="N143">
        <v>72500</v>
      </c>
    </row>
    <row r="144" spans="1:14">
      <c r="A144" t="s">
        <v>19</v>
      </c>
      <c r="B144" t="s">
        <v>368</v>
      </c>
      <c r="C144" t="s">
        <v>369</v>
      </c>
      <c r="D144">
        <v>29</v>
      </c>
      <c r="E144">
        <v>35607</v>
      </c>
      <c r="F144" t="s">
        <v>92</v>
      </c>
      <c r="G144" t="s">
        <v>80</v>
      </c>
      <c r="H144">
        <v>13800</v>
      </c>
      <c r="I144">
        <v>41500</v>
      </c>
      <c r="J144" t="s">
        <v>38</v>
      </c>
      <c r="K144">
        <v>34</v>
      </c>
      <c r="M144" t="s">
        <v>38</v>
      </c>
      <c r="N144">
        <v>66000</v>
      </c>
    </row>
    <row r="145" spans="1:14">
      <c r="A145" t="s">
        <v>13</v>
      </c>
      <c r="B145" t="s">
        <v>370</v>
      </c>
      <c r="C145" t="s">
        <v>371</v>
      </c>
      <c r="D145">
        <v>22</v>
      </c>
      <c r="E145" s="1">
        <v>37904</v>
      </c>
      <c r="F145" t="s">
        <v>21</v>
      </c>
      <c r="G145" t="s">
        <v>22</v>
      </c>
      <c r="H145">
        <v>2300</v>
      </c>
      <c r="I145">
        <v>0</v>
      </c>
      <c r="J145" t="s">
        <v>18</v>
      </c>
      <c r="K145" t="s">
        <v>372</v>
      </c>
      <c r="M145" t="s">
        <v>18</v>
      </c>
      <c r="N145">
        <v>51500</v>
      </c>
    </row>
    <row r="146" spans="1:14">
      <c r="A146" t="s">
        <v>19</v>
      </c>
      <c r="B146" t="s">
        <v>373</v>
      </c>
      <c r="C146" t="s">
        <v>374</v>
      </c>
      <c r="D146">
        <v>29</v>
      </c>
      <c r="E146">
        <v>35598</v>
      </c>
      <c r="F146" t="s">
        <v>122</v>
      </c>
      <c r="G146" t="s">
        <v>122</v>
      </c>
      <c r="H146">
        <v>15500</v>
      </c>
      <c r="I146">
        <v>75000</v>
      </c>
      <c r="J146" t="s">
        <v>185</v>
      </c>
      <c r="K146">
        <v>25</v>
      </c>
      <c r="M146" t="s">
        <v>185</v>
      </c>
      <c r="N146">
        <v>47000</v>
      </c>
    </row>
    <row r="147" spans="1:14">
      <c r="A147" t="s">
        <v>13</v>
      </c>
      <c r="B147" t="s">
        <v>375</v>
      </c>
      <c r="C147" t="s">
        <v>376</v>
      </c>
      <c r="D147">
        <v>72</v>
      </c>
      <c r="E147">
        <v>19839</v>
      </c>
      <c r="F147" t="s">
        <v>16</v>
      </c>
      <c r="G147" t="s">
        <v>377</v>
      </c>
      <c r="H147" s="14">
        <v>3900</v>
      </c>
      <c r="I147">
        <v>27000</v>
      </c>
      <c r="J147" t="s">
        <v>38</v>
      </c>
      <c r="K147">
        <v>33</v>
      </c>
      <c r="M147" t="s">
        <v>38</v>
      </c>
      <c r="N147">
        <v>2000</v>
      </c>
    </row>
    <row r="148" spans="1:14">
      <c r="A148" t="s">
        <v>13</v>
      </c>
      <c r="B148" t="s">
        <v>378</v>
      </c>
      <c r="C148" t="s">
        <v>379</v>
      </c>
      <c r="D148">
        <v>58</v>
      </c>
      <c r="E148" s="1">
        <v>25066</v>
      </c>
      <c r="F148" t="s">
        <v>111</v>
      </c>
      <c r="G148" t="s">
        <v>156</v>
      </c>
      <c r="H148" s="15">
        <v>4500</v>
      </c>
      <c r="J148" t="s">
        <v>18</v>
      </c>
      <c r="K148">
        <v>31</v>
      </c>
      <c r="M148" t="s">
        <v>18</v>
      </c>
      <c r="N148">
        <v>97500</v>
      </c>
    </row>
    <row r="149" spans="1:14">
      <c r="A149" t="s">
        <v>112</v>
      </c>
      <c r="B149" t="s">
        <v>380</v>
      </c>
      <c r="C149">
        <v>20900</v>
      </c>
      <c r="D149">
        <v>33</v>
      </c>
      <c r="E149">
        <v>34021</v>
      </c>
      <c r="F149" t="s">
        <v>21</v>
      </c>
      <c r="G149" t="s">
        <v>22</v>
      </c>
      <c r="I149">
        <v>73500</v>
      </c>
      <c r="J149" t="s">
        <v>38</v>
      </c>
      <c r="K149">
        <v>33</v>
      </c>
      <c r="M149" t="s">
        <v>38</v>
      </c>
      <c r="N149">
        <v>95000</v>
      </c>
    </row>
    <row r="150" spans="1:14">
      <c r="A150" t="s">
        <v>13</v>
      </c>
      <c r="B150" t="s">
        <v>381</v>
      </c>
      <c r="C150">
        <v>36900</v>
      </c>
      <c r="D150">
        <v>61</v>
      </c>
      <c r="E150">
        <v>23928</v>
      </c>
      <c r="F150" t="s">
        <v>243</v>
      </c>
      <c r="G150" t="s">
        <v>22</v>
      </c>
      <c r="H150">
        <v>22900</v>
      </c>
      <c r="I150">
        <v>7500</v>
      </c>
      <c r="J150" t="s">
        <v>38</v>
      </c>
      <c r="K150">
        <v>12</v>
      </c>
      <c r="M150" t="s">
        <v>38</v>
      </c>
      <c r="N150">
        <v>73000</v>
      </c>
    </row>
    <row r="151" spans="1:14">
      <c r="A151" t="s">
        <v>13</v>
      </c>
      <c r="B151" t="s">
        <v>382</v>
      </c>
      <c r="C151" t="s">
        <v>383</v>
      </c>
      <c r="D151">
        <v>73</v>
      </c>
      <c r="E151">
        <v>19363</v>
      </c>
      <c r="F151" t="s">
        <v>111</v>
      </c>
      <c r="G151" t="s">
        <v>87</v>
      </c>
      <c r="H151" t="s">
        <v>61</v>
      </c>
      <c r="I151" s="14">
        <v>19000</v>
      </c>
      <c r="J151" t="s">
        <v>38</v>
      </c>
      <c r="K151">
        <v>0</v>
      </c>
      <c r="M151" t="s">
        <v>38</v>
      </c>
      <c r="N151">
        <v>17000</v>
      </c>
    </row>
    <row r="152" spans="1:14">
      <c r="A152" t="s">
        <v>384</v>
      </c>
      <c r="B152" t="s">
        <v>385</v>
      </c>
      <c r="C152">
        <v>6900</v>
      </c>
      <c r="D152">
        <v>51</v>
      </c>
      <c r="E152">
        <v>27590</v>
      </c>
      <c r="F152" t="s">
        <v>79</v>
      </c>
      <c r="G152" t="s">
        <v>80</v>
      </c>
      <c r="H152" s="15">
        <v>19400</v>
      </c>
      <c r="I152">
        <v>4000</v>
      </c>
      <c r="J152" t="s">
        <v>38</v>
      </c>
      <c r="K152">
        <v>30</v>
      </c>
      <c r="M152" t="s">
        <v>38</v>
      </c>
      <c r="N152">
        <v>38500</v>
      </c>
    </row>
    <row r="153" spans="1:14">
      <c r="A153" t="s">
        <v>13</v>
      </c>
      <c r="B153" t="s">
        <v>386</v>
      </c>
      <c r="C153" t="s">
        <v>387</v>
      </c>
      <c r="D153">
        <v>43</v>
      </c>
      <c r="E153" s="1">
        <v>30309</v>
      </c>
      <c r="F153" t="s">
        <v>183</v>
      </c>
      <c r="G153" t="s">
        <v>184</v>
      </c>
      <c r="H153" s="14">
        <v>18400</v>
      </c>
      <c r="I153">
        <v>62000</v>
      </c>
      <c r="J153" t="s">
        <v>38</v>
      </c>
      <c r="K153">
        <v>33</v>
      </c>
      <c r="M153" t="s">
        <v>38</v>
      </c>
      <c r="N153">
        <v>31000</v>
      </c>
    </row>
    <row r="154" spans="1:14">
      <c r="A154" t="s">
        <v>19</v>
      </c>
      <c r="B154" t="s">
        <v>388</v>
      </c>
      <c r="C154" t="s">
        <v>389</v>
      </c>
      <c r="D154">
        <v>63</v>
      </c>
      <c r="E154">
        <v>23119</v>
      </c>
      <c r="F154" t="s">
        <v>16</v>
      </c>
      <c r="G154" t="s">
        <v>37</v>
      </c>
      <c r="H154">
        <v>9300</v>
      </c>
      <c r="I154">
        <v>48500</v>
      </c>
      <c r="J154" t="s">
        <v>38</v>
      </c>
      <c r="K154">
        <v>28</v>
      </c>
      <c r="M154" t="s">
        <v>38</v>
      </c>
      <c r="N154">
        <v>20000</v>
      </c>
    </row>
    <row r="155" spans="1:14">
      <c r="A155" t="s">
        <v>19</v>
      </c>
      <c r="B155" t="s">
        <v>390</v>
      </c>
      <c r="C155" t="s">
        <v>391</v>
      </c>
      <c r="D155">
        <v>63</v>
      </c>
      <c r="E155" s="1">
        <v>22924</v>
      </c>
      <c r="F155" t="s">
        <v>65</v>
      </c>
      <c r="G155" t="s">
        <v>197</v>
      </c>
      <c r="H155">
        <v>29000</v>
      </c>
      <c r="I155" s="14">
        <v>36500</v>
      </c>
      <c r="J155" t="s">
        <v>38</v>
      </c>
      <c r="K155">
        <v>38</v>
      </c>
      <c r="M155" t="s">
        <v>38</v>
      </c>
      <c r="N155">
        <v>47000</v>
      </c>
    </row>
    <row r="156" spans="1:14">
      <c r="A156" t="s">
        <v>19</v>
      </c>
      <c r="B156" t="s">
        <v>392</v>
      </c>
      <c r="C156">
        <v>23700</v>
      </c>
      <c r="E156">
        <v>19234</v>
      </c>
      <c r="F156" t="s">
        <v>111</v>
      </c>
      <c r="G156" t="s">
        <v>87</v>
      </c>
      <c r="H156" s="14">
        <v>8900</v>
      </c>
      <c r="I156" s="14">
        <v>4000</v>
      </c>
      <c r="J156" t="s">
        <v>38</v>
      </c>
      <c r="K156">
        <v>38</v>
      </c>
      <c r="M156" t="s">
        <v>38</v>
      </c>
      <c r="N156">
        <v>22500</v>
      </c>
    </row>
    <row r="157" spans="1:14">
      <c r="B157" t="s">
        <v>393</v>
      </c>
      <c r="C157" t="s">
        <v>394</v>
      </c>
      <c r="D157">
        <v>61</v>
      </c>
      <c r="E157">
        <v>23813</v>
      </c>
      <c r="F157" t="s">
        <v>65</v>
      </c>
      <c r="G157" t="s">
        <v>60</v>
      </c>
      <c r="H157" s="14">
        <v>26300</v>
      </c>
      <c r="I157">
        <v>40000</v>
      </c>
      <c r="J157" t="s">
        <v>18</v>
      </c>
      <c r="K157" t="s">
        <v>254</v>
      </c>
      <c r="M157" t="s">
        <v>18</v>
      </c>
      <c r="N157">
        <v>16500</v>
      </c>
    </row>
    <row r="158" spans="1:14">
      <c r="A158" t="s">
        <v>13</v>
      </c>
      <c r="B158" t="s">
        <v>395</v>
      </c>
      <c r="C158" t="s">
        <v>396</v>
      </c>
      <c r="D158">
        <v>53</v>
      </c>
      <c r="E158" s="1">
        <v>26631</v>
      </c>
      <c r="F158" t="s">
        <v>183</v>
      </c>
      <c r="G158" t="s">
        <v>397</v>
      </c>
      <c r="H158" s="14">
        <v>22700</v>
      </c>
      <c r="I158">
        <v>42500</v>
      </c>
      <c r="J158" t="s">
        <v>18</v>
      </c>
      <c r="K158">
        <v>25</v>
      </c>
      <c r="M158" t="s">
        <v>18</v>
      </c>
      <c r="N158">
        <v>86000</v>
      </c>
    </row>
    <row r="159" spans="1:14">
      <c r="A159" t="s">
        <v>13</v>
      </c>
      <c r="B159" t="s">
        <v>398</v>
      </c>
      <c r="C159" t="s">
        <v>399</v>
      </c>
      <c r="D159">
        <v>48</v>
      </c>
      <c r="E159">
        <v>28673</v>
      </c>
      <c r="F159" t="s">
        <v>183</v>
      </c>
      <c r="G159" t="s">
        <v>397</v>
      </c>
      <c r="H159" s="14">
        <v>2300</v>
      </c>
      <c r="I159">
        <v>26500</v>
      </c>
      <c r="J159" t="s">
        <v>30</v>
      </c>
      <c r="K159">
        <v>44</v>
      </c>
      <c r="M159" t="s">
        <v>30</v>
      </c>
      <c r="N159">
        <v>81000</v>
      </c>
    </row>
    <row r="160" spans="1:14">
      <c r="A160" t="s">
        <v>19</v>
      </c>
      <c r="B160" t="s">
        <v>400</v>
      </c>
      <c r="C160" t="s">
        <v>401</v>
      </c>
      <c r="E160">
        <v>38001</v>
      </c>
      <c r="F160" t="s">
        <v>100</v>
      </c>
      <c r="G160" t="s">
        <v>93</v>
      </c>
      <c r="H160">
        <v>2100</v>
      </c>
      <c r="I160">
        <v>79500</v>
      </c>
      <c r="J160" t="s">
        <v>18</v>
      </c>
      <c r="K160">
        <v>29</v>
      </c>
      <c r="M160" t="s">
        <v>18</v>
      </c>
      <c r="N160">
        <v>64000</v>
      </c>
    </row>
    <row r="161" spans="1:14">
      <c r="A161" t="s">
        <v>19</v>
      </c>
      <c r="B161" t="s">
        <v>402</v>
      </c>
      <c r="C161" t="s">
        <v>403</v>
      </c>
      <c r="D161">
        <v>33</v>
      </c>
      <c r="E161" s="1">
        <v>33955</v>
      </c>
      <c r="F161" t="s">
        <v>108</v>
      </c>
      <c r="G161" t="s">
        <v>80</v>
      </c>
      <c r="H161">
        <v>25700</v>
      </c>
      <c r="I161">
        <v>35000</v>
      </c>
      <c r="J161" t="s">
        <v>38</v>
      </c>
      <c r="K161">
        <v>40</v>
      </c>
      <c r="M161" t="s">
        <v>38</v>
      </c>
      <c r="N161">
        <v>1000</v>
      </c>
    </row>
    <row r="162" spans="1:14">
      <c r="A162" t="s">
        <v>19</v>
      </c>
      <c r="B162" t="s">
        <v>404</v>
      </c>
      <c r="C162">
        <v>27300</v>
      </c>
      <c r="D162">
        <v>66</v>
      </c>
      <c r="E162">
        <v>21873</v>
      </c>
      <c r="F162" t="s">
        <v>100</v>
      </c>
      <c r="G162" t="s">
        <v>80</v>
      </c>
      <c r="H162" s="14">
        <v>9900</v>
      </c>
      <c r="I162" t="s">
        <v>405</v>
      </c>
      <c r="J162" t="s">
        <v>38</v>
      </c>
      <c r="K162">
        <v>13</v>
      </c>
      <c r="M162" t="s">
        <v>38</v>
      </c>
      <c r="N162">
        <v>37000</v>
      </c>
    </row>
    <row r="163" spans="1:14">
      <c r="A163" t="s">
        <v>112</v>
      </c>
      <c r="B163" t="s">
        <v>406</v>
      </c>
      <c r="C163">
        <v>33700</v>
      </c>
      <c r="D163">
        <v>44</v>
      </c>
      <c r="E163">
        <v>30167</v>
      </c>
      <c r="F163" t="s">
        <v>86</v>
      </c>
      <c r="H163">
        <v>5500</v>
      </c>
      <c r="I163" s="14">
        <v>26000</v>
      </c>
      <c r="J163" t="s">
        <v>38</v>
      </c>
      <c r="K163" t="s">
        <v>407</v>
      </c>
      <c r="M163" t="s">
        <v>38</v>
      </c>
      <c r="N163">
        <v>64000</v>
      </c>
    </row>
    <row r="164" spans="1:14">
      <c r="A164" t="s">
        <v>19</v>
      </c>
      <c r="B164" t="s">
        <v>408</v>
      </c>
      <c r="C164" t="s">
        <v>409</v>
      </c>
      <c r="D164">
        <v>33</v>
      </c>
      <c r="E164" s="1">
        <v>34154</v>
      </c>
      <c r="F164" t="s">
        <v>79</v>
      </c>
      <c r="G164" t="s">
        <v>80</v>
      </c>
      <c r="H164">
        <v>2400</v>
      </c>
      <c r="I164" s="14">
        <v>78000</v>
      </c>
      <c r="J164" t="s">
        <v>38</v>
      </c>
      <c r="K164">
        <v>6</v>
      </c>
      <c r="M164" t="s">
        <v>38</v>
      </c>
      <c r="N164">
        <v>28000</v>
      </c>
    </row>
    <row r="165" spans="1:14">
      <c r="A165" t="s">
        <v>13</v>
      </c>
      <c r="B165" t="s">
        <v>410</v>
      </c>
      <c r="C165" t="s">
        <v>411</v>
      </c>
      <c r="D165">
        <v>51</v>
      </c>
      <c r="E165" s="1">
        <v>27505</v>
      </c>
      <c r="F165" t="s">
        <v>412</v>
      </c>
      <c r="H165" s="14">
        <v>7200</v>
      </c>
      <c r="I165" t="s">
        <v>413</v>
      </c>
      <c r="J165" t="s">
        <v>18</v>
      </c>
      <c r="K165">
        <v>40</v>
      </c>
      <c r="M165" t="s">
        <v>18</v>
      </c>
      <c r="N165">
        <v>5500</v>
      </c>
    </row>
    <row r="166" spans="1:14">
      <c r="A166" t="s">
        <v>384</v>
      </c>
      <c r="B166" t="s">
        <v>414</v>
      </c>
      <c r="D166">
        <v>61</v>
      </c>
      <c r="E166">
        <v>23932</v>
      </c>
      <c r="F166" t="s">
        <v>76</v>
      </c>
      <c r="G166" t="s">
        <v>77</v>
      </c>
      <c r="H166">
        <v>4100</v>
      </c>
      <c r="I166">
        <v>78000</v>
      </c>
      <c r="J166" t="s">
        <v>38</v>
      </c>
      <c r="K166">
        <v>25</v>
      </c>
      <c r="M166" t="s">
        <v>38</v>
      </c>
      <c r="N166">
        <v>48000</v>
      </c>
    </row>
    <row r="167" spans="1:14">
      <c r="A167" t="s">
        <v>13</v>
      </c>
      <c r="B167" t="s">
        <v>415</v>
      </c>
      <c r="C167">
        <v>18800</v>
      </c>
      <c r="D167">
        <v>43</v>
      </c>
      <c r="E167">
        <v>30355</v>
      </c>
      <c r="F167" t="s">
        <v>92</v>
      </c>
      <c r="G167" t="s">
        <v>80</v>
      </c>
      <c r="H167" s="14">
        <v>21700</v>
      </c>
      <c r="I167">
        <v>31000</v>
      </c>
      <c r="J167" t="s">
        <v>38</v>
      </c>
      <c r="K167">
        <v>27</v>
      </c>
      <c r="M167" t="s">
        <v>38</v>
      </c>
      <c r="N167">
        <v>45500</v>
      </c>
    </row>
    <row r="168" spans="1:14">
      <c r="A168" t="s">
        <v>13</v>
      </c>
      <c r="B168" t="s">
        <v>416</v>
      </c>
      <c r="C168" t="s">
        <v>417</v>
      </c>
      <c r="D168">
        <v>56</v>
      </c>
      <c r="E168" s="1">
        <v>25808</v>
      </c>
      <c r="F168" t="s">
        <v>86</v>
      </c>
      <c r="G168" t="s">
        <v>87</v>
      </c>
      <c r="H168">
        <v>5400</v>
      </c>
      <c r="I168">
        <v>61000</v>
      </c>
      <c r="J168" t="s">
        <v>38</v>
      </c>
      <c r="K168">
        <v>12</v>
      </c>
      <c r="M168" t="s">
        <v>38</v>
      </c>
      <c r="N168">
        <v>96500</v>
      </c>
    </row>
    <row r="169" spans="1:14">
      <c r="A169" t="s">
        <v>43</v>
      </c>
      <c r="B169" t="s">
        <v>418</v>
      </c>
      <c r="C169">
        <v>10200</v>
      </c>
      <c r="D169">
        <v>35</v>
      </c>
      <c r="E169" s="1">
        <v>33444</v>
      </c>
      <c r="F169" t="s">
        <v>26</v>
      </c>
      <c r="G169" t="s">
        <v>27</v>
      </c>
      <c r="H169" s="15">
        <v>8400</v>
      </c>
      <c r="I169">
        <v>62500</v>
      </c>
      <c r="J169" t="s">
        <v>38</v>
      </c>
      <c r="K169">
        <v>31</v>
      </c>
      <c r="M169" t="s">
        <v>38</v>
      </c>
      <c r="N169">
        <v>83500</v>
      </c>
    </row>
    <row r="170" spans="1:14">
      <c r="A170" t="s">
        <v>19</v>
      </c>
      <c r="B170" t="s">
        <v>419</v>
      </c>
      <c r="C170" t="s">
        <v>420</v>
      </c>
      <c r="D170">
        <v>44</v>
      </c>
      <c r="E170">
        <v>29948</v>
      </c>
      <c r="F170" t="s">
        <v>122</v>
      </c>
      <c r="G170" t="s">
        <v>122</v>
      </c>
      <c r="I170">
        <v>0</v>
      </c>
      <c r="J170" t="s">
        <v>38</v>
      </c>
      <c r="K170">
        <v>4</v>
      </c>
      <c r="M170" t="s">
        <v>38</v>
      </c>
      <c r="N170">
        <v>80000</v>
      </c>
    </row>
    <row r="171" spans="1:14">
      <c r="A171" t="s">
        <v>19</v>
      </c>
      <c r="B171" t="s">
        <v>421</v>
      </c>
      <c r="C171" t="s">
        <v>422</v>
      </c>
      <c r="D171">
        <v>31</v>
      </c>
      <c r="E171" s="1">
        <v>34738</v>
      </c>
      <c r="F171" t="s">
        <v>86</v>
      </c>
      <c r="G171" t="s">
        <v>87</v>
      </c>
      <c r="H171">
        <v>22600</v>
      </c>
      <c r="I171">
        <v>58000</v>
      </c>
      <c r="J171" t="s">
        <v>129</v>
      </c>
      <c r="K171" t="s">
        <v>423</v>
      </c>
      <c r="M171" t="s">
        <v>129</v>
      </c>
      <c r="N171">
        <v>26500</v>
      </c>
    </row>
    <row r="172" spans="1:14">
      <c r="A172" t="s">
        <v>19</v>
      </c>
      <c r="B172" t="s">
        <v>154</v>
      </c>
      <c r="C172">
        <v>4000</v>
      </c>
      <c r="D172">
        <v>48</v>
      </c>
      <c r="E172" s="1">
        <v>28663</v>
      </c>
      <c r="F172" t="s">
        <v>163</v>
      </c>
      <c r="G172" t="s">
        <v>27</v>
      </c>
      <c r="H172">
        <v>24700</v>
      </c>
      <c r="I172">
        <v>30500</v>
      </c>
      <c r="J172" t="s">
        <v>38</v>
      </c>
      <c r="K172">
        <v>34</v>
      </c>
      <c r="M172" t="s">
        <v>38</v>
      </c>
      <c r="N172">
        <v>87500</v>
      </c>
    </row>
    <row r="173" spans="1:14">
      <c r="A173" t="s">
        <v>19</v>
      </c>
      <c r="B173" t="s">
        <v>424</v>
      </c>
      <c r="C173" t="s">
        <v>425</v>
      </c>
      <c r="D173">
        <v>30</v>
      </c>
      <c r="E173">
        <v>35213</v>
      </c>
      <c r="F173" t="s">
        <v>283</v>
      </c>
      <c r="H173">
        <v>3900</v>
      </c>
      <c r="I173">
        <v>45000</v>
      </c>
      <c r="J173" t="s">
        <v>38</v>
      </c>
      <c r="K173">
        <v>34</v>
      </c>
      <c r="M173" t="s">
        <v>38</v>
      </c>
      <c r="N173">
        <v>41500</v>
      </c>
    </row>
    <row r="174" spans="1:14">
      <c r="A174" t="s">
        <v>19</v>
      </c>
      <c r="B174" t="s">
        <v>426</v>
      </c>
      <c r="C174" t="s">
        <v>427</v>
      </c>
      <c r="D174">
        <v>21</v>
      </c>
      <c r="E174" s="1">
        <v>38328</v>
      </c>
      <c r="F174" t="s">
        <v>50</v>
      </c>
      <c r="G174" t="s">
        <v>205</v>
      </c>
      <c r="H174">
        <v>4400</v>
      </c>
      <c r="I174">
        <v>23500</v>
      </c>
      <c r="J174" t="s">
        <v>18</v>
      </c>
      <c r="K174">
        <v>31</v>
      </c>
      <c r="M174" t="s">
        <v>18</v>
      </c>
      <c r="N174">
        <v>91000</v>
      </c>
    </row>
    <row r="175" spans="1:14">
      <c r="A175" t="s">
        <v>13</v>
      </c>
      <c r="B175" t="s">
        <v>428</v>
      </c>
      <c r="C175">
        <v>30000</v>
      </c>
      <c r="D175">
        <v>48</v>
      </c>
      <c r="E175">
        <v>28509</v>
      </c>
      <c r="F175" t="s">
        <v>107</v>
      </c>
      <c r="G175" t="s">
        <v>84</v>
      </c>
      <c r="H175" t="s">
        <v>429</v>
      </c>
      <c r="I175" s="14">
        <v>9000</v>
      </c>
      <c r="J175">
        <v>0</v>
      </c>
      <c r="K175">
        <v>28</v>
      </c>
      <c r="M175">
        <v>0</v>
      </c>
      <c r="N175">
        <v>80000</v>
      </c>
    </row>
    <row r="176" spans="1:14">
      <c r="A176" t="s">
        <v>13</v>
      </c>
      <c r="B176" t="s">
        <v>430</v>
      </c>
      <c r="C176" t="s">
        <v>431</v>
      </c>
      <c r="E176">
        <v>25925</v>
      </c>
      <c r="F176" t="s">
        <v>50</v>
      </c>
      <c r="G176" t="s">
        <v>205</v>
      </c>
      <c r="H176" s="14">
        <v>20200</v>
      </c>
      <c r="I176">
        <v>61000</v>
      </c>
      <c r="J176" t="s">
        <v>38</v>
      </c>
      <c r="K176">
        <v>10</v>
      </c>
      <c r="M176" t="s">
        <v>38</v>
      </c>
      <c r="N176">
        <v>6500</v>
      </c>
    </row>
    <row r="177" spans="1:14">
      <c r="B177" t="s">
        <v>432</v>
      </c>
      <c r="C177" t="s">
        <v>433</v>
      </c>
      <c r="D177">
        <v>56</v>
      </c>
      <c r="E177" s="1">
        <v>25705</v>
      </c>
      <c r="F177" t="s">
        <v>163</v>
      </c>
      <c r="G177" t="s">
        <v>27</v>
      </c>
      <c r="H177" s="14">
        <v>11100</v>
      </c>
      <c r="I177" s="14">
        <v>13000</v>
      </c>
      <c r="J177" t="s">
        <v>38</v>
      </c>
      <c r="K177">
        <v>38</v>
      </c>
      <c r="M177" t="s">
        <v>38</v>
      </c>
      <c r="N177">
        <v>88000</v>
      </c>
    </row>
    <row r="178" spans="1:14">
      <c r="A178" t="s">
        <v>13</v>
      </c>
      <c r="B178" t="s">
        <v>434</v>
      </c>
      <c r="C178" t="s">
        <v>435</v>
      </c>
      <c r="D178">
        <v>62</v>
      </c>
      <c r="E178" s="1">
        <v>23337</v>
      </c>
      <c r="F178" t="s">
        <v>26</v>
      </c>
      <c r="G178" t="s">
        <v>27</v>
      </c>
      <c r="H178">
        <v>11900</v>
      </c>
      <c r="I178" s="15">
        <v>58500</v>
      </c>
      <c r="J178" t="s">
        <v>38</v>
      </c>
      <c r="K178">
        <v>37</v>
      </c>
      <c r="M178" t="s">
        <v>38</v>
      </c>
      <c r="N178">
        <v>48000</v>
      </c>
    </row>
    <row r="179" spans="1:14">
      <c r="A179" t="s">
        <v>13</v>
      </c>
      <c r="B179" t="s">
        <v>436</v>
      </c>
      <c r="C179" t="s">
        <v>437</v>
      </c>
      <c r="D179">
        <v>26</v>
      </c>
      <c r="E179">
        <v>36619</v>
      </c>
      <c r="F179" t="s">
        <v>107</v>
      </c>
      <c r="G179" t="s">
        <v>77</v>
      </c>
      <c r="H179" t="s">
        <v>438</v>
      </c>
      <c r="I179">
        <v>42500</v>
      </c>
      <c r="J179" t="s">
        <v>18</v>
      </c>
      <c r="K179">
        <v>29</v>
      </c>
      <c r="M179" t="s">
        <v>18</v>
      </c>
      <c r="N179">
        <v>66000</v>
      </c>
    </row>
    <row r="180" spans="1:14">
      <c r="A180" t="s">
        <v>13</v>
      </c>
      <c r="B180" t="s">
        <v>439</v>
      </c>
      <c r="C180" t="s">
        <v>440</v>
      </c>
      <c r="D180">
        <v>30</v>
      </c>
      <c r="E180" s="1">
        <v>35109</v>
      </c>
      <c r="F180" t="s">
        <v>21</v>
      </c>
      <c r="G180" t="s">
        <v>73</v>
      </c>
      <c r="H180">
        <v>2600</v>
      </c>
      <c r="I180">
        <v>62000</v>
      </c>
      <c r="J180" t="s">
        <v>38</v>
      </c>
      <c r="K180">
        <v>22</v>
      </c>
      <c r="M180" t="s">
        <v>38</v>
      </c>
      <c r="N180">
        <v>62000</v>
      </c>
    </row>
    <row r="181" spans="1:14">
      <c r="A181" t="s">
        <v>13</v>
      </c>
      <c r="B181" t="s">
        <v>441</v>
      </c>
      <c r="C181" t="s">
        <v>442</v>
      </c>
      <c r="E181" s="1">
        <v>19168</v>
      </c>
      <c r="F181" t="s">
        <v>50</v>
      </c>
      <c r="G181" t="s">
        <v>70</v>
      </c>
      <c r="H181">
        <v>25000</v>
      </c>
      <c r="I181">
        <v>0</v>
      </c>
      <c r="J181" t="s">
        <v>38</v>
      </c>
      <c r="K181">
        <v>3</v>
      </c>
      <c r="M181" t="s">
        <v>38</v>
      </c>
      <c r="N181">
        <v>2500</v>
      </c>
    </row>
    <row r="182" spans="1:14">
      <c r="A182" t="s">
        <v>19</v>
      </c>
      <c r="B182" t="s">
        <v>443</v>
      </c>
      <c r="C182" t="s">
        <v>444</v>
      </c>
      <c r="D182">
        <v>65</v>
      </c>
      <c r="E182">
        <v>22205</v>
      </c>
      <c r="F182" t="s">
        <v>79</v>
      </c>
      <c r="G182" t="s">
        <v>80</v>
      </c>
      <c r="H182">
        <v>19800</v>
      </c>
      <c r="I182" s="15">
        <v>78500</v>
      </c>
      <c r="J182" t="s">
        <v>38</v>
      </c>
      <c r="K182">
        <v>34</v>
      </c>
      <c r="M182" t="s">
        <v>38</v>
      </c>
      <c r="N182">
        <v>23000</v>
      </c>
    </row>
    <row r="183" spans="1:14">
      <c r="A183" t="s">
        <v>19</v>
      </c>
      <c r="B183" t="s">
        <v>445</v>
      </c>
      <c r="C183" t="s">
        <v>446</v>
      </c>
      <c r="D183">
        <v>58</v>
      </c>
      <c r="E183" s="1">
        <v>24726</v>
      </c>
      <c r="F183" t="s">
        <v>59</v>
      </c>
      <c r="G183" t="s">
        <v>60</v>
      </c>
      <c r="H183" t="s">
        <v>447</v>
      </c>
      <c r="I183">
        <v>40000</v>
      </c>
      <c r="J183" t="s">
        <v>38</v>
      </c>
      <c r="K183">
        <v>16</v>
      </c>
      <c r="M183" t="s">
        <v>38</v>
      </c>
      <c r="N183">
        <v>98500</v>
      </c>
    </row>
    <row r="184" spans="1:14">
      <c r="A184" t="s">
        <v>13</v>
      </c>
      <c r="B184" t="s">
        <v>448</v>
      </c>
      <c r="C184" t="s">
        <v>449</v>
      </c>
      <c r="D184">
        <v>45</v>
      </c>
      <c r="E184">
        <v>29769</v>
      </c>
      <c r="F184" t="s">
        <v>21</v>
      </c>
      <c r="G184" t="s">
        <v>126</v>
      </c>
      <c r="H184">
        <v>24400</v>
      </c>
      <c r="I184" s="14">
        <v>7500</v>
      </c>
      <c r="J184" t="s">
        <v>129</v>
      </c>
      <c r="K184">
        <v>13</v>
      </c>
      <c r="M184" t="s">
        <v>129</v>
      </c>
      <c r="N184">
        <v>95000</v>
      </c>
    </row>
    <row r="185" spans="1:14">
      <c r="A185" t="s">
        <v>13</v>
      </c>
      <c r="B185" t="s">
        <v>450</v>
      </c>
      <c r="C185">
        <v>34800</v>
      </c>
      <c r="D185">
        <v>26</v>
      </c>
      <c r="E185">
        <v>36596</v>
      </c>
      <c r="F185" t="s">
        <v>92</v>
      </c>
      <c r="G185" t="s">
        <v>115</v>
      </c>
      <c r="H185">
        <v>3500</v>
      </c>
      <c r="I185">
        <v>50000</v>
      </c>
      <c r="J185">
        <v>0</v>
      </c>
      <c r="K185">
        <v>40</v>
      </c>
      <c r="M185">
        <v>0</v>
      </c>
      <c r="N185">
        <v>46500</v>
      </c>
    </row>
    <row r="186" spans="1:14">
      <c r="A186" t="s">
        <v>13</v>
      </c>
      <c r="B186" t="s">
        <v>451</v>
      </c>
      <c r="C186" t="s">
        <v>452</v>
      </c>
      <c r="D186">
        <v>42</v>
      </c>
      <c r="E186">
        <v>30898</v>
      </c>
      <c r="F186" t="s">
        <v>41</v>
      </c>
      <c r="H186">
        <v>20800</v>
      </c>
      <c r="I186" s="14">
        <v>54000</v>
      </c>
      <c r="J186" t="s">
        <v>38</v>
      </c>
      <c r="K186">
        <v>4</v>
      </c>
      <c r="M186" t="s">
        <v>38</v>
      </c>
      <c r="N186">
        <v>73500</v>
      </c>
    </row>
    <row r="187" spans="1:14">
      <c r="A187" t="s">
        <v>19</v>
      </c>
      <c r="B187" t="s">
        <v>453</v>
      </c>
      <c r="C187" t="s">
        <v>454</v>
      </c>
      <c r="D187">
        <v>66</v>
      </c>
      <c r="E187" s="1">
        <v>21954</v>
      </c>
      <c r="F187" t="s">
        <v>163</v>
      </c>
      <c r="G187" t="s">
        <v>103</v>
      </c>
      <c r="H187">
        <v>3400</v>
      </c>
      <c r="I187">
        <v>78000</v>
      </c>
      <c r="J187" t="s">
        <v>38</v>
      </c>
      <c r="K187">
        <v>9</v>
      </c>
      <c r="M187" t="s">
        <v>38</v>
      </c>
      <c r="N187">
        <v>51500</v>
      </c>
    </row>
    <row r="188" spans="1:14">
      <c r="A188" t="s">
        <v>384</v>
      </c>
      <c r="B188" t="s">
        <v>455</v>
      </c>
      <c r="C188" t="s">
        <v>456</v>
      </c>
      <c r="D188">
        <v>49</v>
      </c>
      <c r="E188">
        <v>28049</v>
      </c>
      <c r="F188" t="s">
        <v>79</v>
      </c>
      <c r="G188" t="s">
        <v>80</v>
      </c>
      <c r="H188">
        <v>25200</v>
      </c>
      <c r="I188">
        <v>59500</v>
      </c>
      <c r="J188" t="s">
        <v>38</v>
      </c>
      <c r="K188">
        <v>37</v>
      </c>
      <c r="M188" t="s">
        <v>38</v>
      </c>
      <c r="N188">
        <v>86500</v>
      </c>
    </row>
    <row r="189" spans="1:14">
      <c r="A189" t="s">
        <v>13</v>
      </c>
      <c r="B189" t="s">
        <v>457</v>
      </c>
      <c r="C189" t="s">
        <v>458</v>
      </c>
      <c r="D189">
        <v>60</v>
      </c>
      <c r="E189" s="1">
        <v>24021</v>
      </c>
      <c r="F189" t="s">
        <v>108</v>
      </c>
      <c r="G189" t="s">
        <v>93</v>
      </c>
      <c r="H189">
        <v>22900</v>
      </c>
      <c r="I189">
        <v>4500</v>
      </c>
      <c r="J189" t="s">
        <v>18</v>
      </c>
      <c r="K189">
        <v>29</v>
      </c>
      <c r="M189" t="s">
        <v>18</v>
      </c>
      <c r="N189">
        <v>43500</v>
      </c>
    </row>
    <row r="190" spans="1:14">
      <c r="A190" t="s">
        <v>459</v>
      </c>
      <c r="B190" t="s">
        <v>460</v>
      </c>
      <c r="C190">
        <v>17500</v>
      </c>
      <c r="D190">
        <v>60</v>
      </c>
      <c r="E190" s="1">
        <v>24091</v>
      </c>
      <c r="F190" t="s">
        <v>41</v>
      </c>
      <c r="G190" t="s">
        <v>46</v>
      </c>
      <c r="H190">
        <v>10100</v>
      </c>
      <c r="I190">
        <v>55000</v>
      </c>
      <c r="J190" t="s">
        <v>38</v>
      </c>
      <c r="K190">
        <v>26</v>
      </c>
      <c r="M190" t="s">
        <v>38</v>
      </c>
      <c r="N190">
        <v>54000</v>
      </c>
    </row>
    <row r="191" spans="1:14">
      <c r="A191" t="s">
        <v>13</v>
      </c>
      <c r="B191" t="s">
        <v>461</v>
      </c>
      <c r="C191">
        <v>16300</v>
      </c>
      <c r="D191" t="s">
        <v>462</v>
      </c>
      <c r="E191" s="1">
        <v>36255</v>
      </c>
      <c r="F191" t="s">
        <v>79</v>
      </c>
      <c r="G191" t="s">
        <v>80</v>
      </c>
      <c r="H191">
        <v>14000</v>
      </c>
      <c r="I191">
        <v>63500</v>
      </c>
      <c r="J191" t="s">
        <v>38</v>
      </c>
      <c r="K191">
        <v>24</v>
      </c>
      <c r="M191" t="s">
        <v>38</v>
      </c>
      <c r="N191">
        <v>87000</v>
      </c>
    </row>
    <row r="192" spans="1:14">
      <c r="A192" t="s">
        <v>13</v>
      </c>
      <c r="B192" t="s">
        <v>463</v>
      </c>
      <c r="C192" t="s">
        <v>464</v>
      </c>
      <c r="D192">
        <v>53</v>
      </c>
      <c r="E192">
        <v>26898</v>
      </c>
      <c r="F192" t="s">
        <v>100</v>
      </c>
      <c r="G192" t="s">
        <v>80</v>
      </c>
      <c r="H192">
        <v>27100</v>
      </c>
      <c r="I192">
        <v>68000</v>
      </c>
      <c r="J192" t="s">
        <v>38</v>
      </c>
      <c r="K192" t="s">
        <v>465</v>
      </c>
      <c r="M192" t="s">
        <v>38</v>
      </c>
      <c r="N192">
        <v>49500</v>
      </c>
    </row>
    <row r="193" spans="1:14">
      <c r="A193" t="s">
        <v>13</v>
      </c>
      <c r="B193" t="s">
        <v>466</v>
      </c>
      <c r="C193" t="s">
        <v>467</v>
      </c>
      <c r="D193">
        <v>37</v>
      </c>
      <c r="E193">
        <v>32414</v>
      </c>
      <c r="F193" t="s">
        <v>468</v>
      </c>
      <c r="H193">
        <v>12800</v>
      </c>
      <c r="I193">
        <v>76500</v>
      </c>
      <c r="J193" t="s">
        <v>38</v>
      </c>
      <c r="K193" t="s">
        <v>407</v>
      </c>
      <c r="M193" t="s">
        <v>38</v>
      </c>
      <c r="N193">
        <v>18500</v>
      </c>
    </row>
    <row r="194" spans="1:14">
      <c r="A194" t="s">
        <v>13</v>
      </c>
      <c r="B194" t="s">
        <v>469</v>
      </c>
      <c r="C194">
        <v>35000</v>
      </c>
      <c r="D194">
        <v>18</v>
      </c>
      <c r="E194" s="1">
        <v>39342</v>
      </c>
      <c r="F194" t="s">
        <v>86</v>
      </c>
      <c r="G194" t="s">
        <v>87</v>
      </c>
      <c r="H194">
        <v>28900</v>
      </c>
      <c r="I194">
        <v>22000</v>
      </c>
      <c r="J194" t="s">
        <v>38</v>
      </c>
      <c r="K194">
        <v>23</v>
      </c>
      <c r="M194" t="s">
        <v>38</v>
      </c>
      <c r="N194">
        <v>90000</v>
      </c>
    </row>
    <row r="195" spans="1:14">
      <c r="A195" t="s">
        <v>13</v>
      </c>
      <c r="B195" t="s">
        <v>232</v>
      </c>
      <c r="C195" t="s">
        <v>233</v>
      </c>
      <c r="D195">
        <v>27</v>
      </c>
      <c r="E195">
        <v>36308</v>
      </c>
      <c r="F195" t="s">
        <v>76</v>
      </c>
      <c r="G195" t="s">
        <v>77</v>
      </c>
      <c r="H195">
        <v>5300</v>
      </c>
      <c r="I195" t="s">
        <v>234</v>
      </c>
      <c r="J195" t="s">
        <v>185</v>
      </c>
      <c r="K195">
        <v>11</v>
      </c>
      <c r="M195" t="s">
        <v>185</v>
      </c>
      <c r="N195">
        <v>4500</v>
      </c>
    </row>
    <row r="196" spans="1:14">
      <c r="A196" t="s">
        <v>13</v>
      </c>
      <c r="B196" t="s">
        <v>470</v>
      </c>
      <c r="C196" t="s">
        <v>471</v>
      </c>
      <c r="D196">
        <v>25</v>
      </c>
      <c r="E196">
        <v>36824</v>
      </c>
      <c r="F196" t="s">
        <v>79</v>
      </c>
      <c r="G196" t="s">
        <v>80</v>
      </c>
      <c r="H196">
        <v>18300</v>
      </c>
      <c r="I196">
        <v>41000</v>
      </c>
      <c r="J196" t="s">
        <v>38</v>
      </c>
      <c r="K196">
        <v>9</v>
      </c>
      <c r="M196" t="s">
        <v>38</v>
      </c>
      <c r="N196">
        <v>32500</v>
      </c>
    </row>
    <row r="197" spans="1:14">
      <c r="A197" t="s">
        <v>13</v>
      </c>
      <c r="B197" t="s">
        <v>472</v>
      </c>
      <c r="C197" t="s">
        <v>473</v>
      </c>
      <c r="D197">
        <v>55</v>
      </c>
      <c r="E197">
        <v>26103</v>
      </c>
      <c r="F197" t="s">
        <v>21</v>
      </c>
      <c r="G197" t="s">
        <v>22</v>
      </c>
      <c r="H197">
        <v>9600</v>
      </c>
      <c r="I197">
        <v>43000</v>
      </c>
      <c r="J197" t="s">
        <v>38</v>
      </c>
      <c r="K197">
        <v>36</v>
      </c>
      <c r="M197" t="s">
        <v>38</v>
      </c>
      <c r="N197">
        <v>67500</v>
      </c>
    </row>
    <row r="198" spans="1:14">
      <c r="A198" t="s">
        <v>13</v>
      </c>
      <c r="B198" t="s">
        <v>474</v>
      </c>
      <c r="C198" t="s">
        <v>475</v>
      </c>
      <c r="D198">
        <v>23</v>
      </c>
      <c r="E198">
        <v>37530</v>
      </c>
      <c r="F198" t="s">
        <v>33</v>
      </c>
      <c r="H198">
        <v>10700</v>
      </c>
      <c r="I198">
        <v>15000</v>
      </c>
      <c r="J198" t="s">
        <v>38</v>
      </c>
      <c r="K198">
        <v>42</v>
      </c>
      <c r="M198" t="s">
        <v>38</v>
      </c>
      <c r="N198">
        <v>81500</v>
      </c>
    </row>
    <row r="199" spans="1:14">
      <c r="A199" t="s">
        <v>19</v>
      </c>
      <c r="B199" t="s">
        <v>476</v>
      </c>
      <c r="C199" t="s">
        <v>477</v>
      </c>
      <c r="D199">
        <v>58</v>
      </c>
      <c r="E199">
        <v>24872</v>
      </c>
      <c r="F199" t="s">
        <v>50</v>
      </c>
      <c r="G199" t="s">
        <v>205</v>
      </c>
      <c r="H199" s="14">
        <v>12500</v>
      </c>
      <c r="I199" s="15">
        <v>44500</v>
      </c>
      <c r="J199" t="s">
        <v>185</v>
      </c>
      <c r="K199">
        <v>13</v>
      </c>
      <c r="M199" t="s">
        <v>185</v>
      </c>
      <c r="N199">
        <v>16000</v>
      </c>
    </row>
    <row r="200" spans="1:14">
      <c r="A200" t="s">
        <v>13</v>
      </c>
      <c r="B200" t="s">
        <v>478</v>
      </c>
      <c r="D200">
        <v>24</v>
      </c>
      <c r="F200" t="s">
        <v>26</v>
      </c>
      <c r="G200" t="s">
        <v>354</v>
      </c>
      <c r="H200">
        <v>17000</v>
      </c>
      <c r="I200">
        <v>41000</v>
      </c>
      <c r="J200" t="s">
        <v>38</v>
      </c>
      <c r="K200">
        <v>37</v>
      </c>
      <c r="M200" t="s">
        <v>38</v>
      </c>
      <c r="N200">
        <v>33000</v>
      </c>
    </row>
    <row r="201" spans="1:14">
      <c r="A201" t="s">
        <v>13</v>
      </c>
      <c r="B201" t="s">
        <v>479</v>
      </c>
      <c r="C201">
        <v>7700</v>
      </c>
      <c r="E201" s="1">
        <v>31337</v>
      </c>
      <c r="F201" t="s">
        <v>107</v>
      </c>
      <c r="G201" t="s">
        <v>77</v>
      </c>
      <c r="H201">
        <v>14000</v>
      </c>
      <c r="I201">
        <v>0</v>
      </c>
      <c r="J201" t="s">
        <v>129</v>
      </c>
      <c r="K201">
        <v>24</v>
      </c>
      <c r="M201" t="s">
        <v>129</v>
      </c>
      <c r="N201">
        <v>82000</v>
      </c>
    </row>
    <row r="202" spans="1:14">
      <c r="A202" t="s">
        <v>13</v>
      </c>
      <c r="B202" t="s">
        <v>69</v>
      </c>
      <c r="C202" t="s">
        <v>480</v>
      </c>
      <c r="D202">
        <v>59</v>
      </c>
      <c r="E202">
        <v>24710</v>
      </c>
      <c r="F202" t="s">
        <v>481</v>
      </c>
      <c r="H202" s="15">
        <v>19900</v>
      </c>
      <c r="I202" s="15">
        <v>55000</v>
      </c>
      <c r="J202" t="s">
        <v>38</v>
      </c>
      <c r="K202">
        <v>26</v>
      </c>
      <c r="M202" t="s">
        <v>38</v>
      </c>
      <c r="N202">
        <v>100000</v>
      </c>
    </row>
    <row r="203" spans="1:14">
      <c r="A203" t="s">
        <v>19</v>
      </c>
      <c r="B203" t="s">
        <v>482</v>
      </c>
      <c r="C203" t="s">
        <v>483</v>
      </c>
      <c r="D203">
        <v>74</v>
      </c>
      <c r="E203">
        <v>19073</v>
      </c>
      <c r="F203" t="s">
        <v>41</v>
      </c>
      <c r="H203">
        <v>7100</v>
      </c>
      <c r="I203">
        <v>61500</v>
      </c>
      <c r="J203" t="s">
        <v>38</v>
      </c>
      <c r="K203" t="s">
        <v>104</v>
      </c>
      <c r="M203" t="s">
        <v>38</v>
      </c>
      <c r="N203">
        <v>50500</v>
      </c>
    </row>
    <row r="204" spans="1:14">
      <c r="A204" t="s">
        <v>13</v>
      </c>
      <c r="B204" t="s">
        <v>484</v>
      </c>
      <c r="C204" t="s">
        <v>485</v>
      </c>
      <c r="D204">
        <v>64</v>
      </c>
      <c r="E204" s="1">
        <v>22886</v>
      </c>
      <c r="F204" t="s">
        <v>50</v>
      </c>
      <c r="G204" t="s">
        <v>70</v>
      </c>
      <c r="H204" s="15">
        <v>8800</v>
      </c>
      <c r="I204" s="14">
        <v>66000</v>
      </c>
      <c r="J204" t="s">
        <v>38</v>
      </c>
      <c r="K204">
        <v>28</v>
      </c>
      <c r="M204" t="s">
        <v>38</v>
      </c>
      <c r="N204">
        <v>5000</v>
      </c>
    </row>
    <row r="205" spans="1:14">
      <c r="A205" t="s">
        <v>19</v>
      </c>
      <c r="B205" t="s">
        <v>476</v>
      </c>
      <c r="C205" t="s">
        <v>477</v>
      </c>
      <c r="D205">
        <v>58</v>
      </c>
      <c r="E205">
        <v>24872</v>
      </c>
      <c r="F205" t="s">
        <v>50</v>
      </c>
      <c r="G205" t="s">
        <v>205</v>
      </c>
      <c r="H205" s="14">
        <v>12500</v>
      </c>
      <c r="I205" s="15">
        <v>44500</v>
      </c>
      <c r="J205" t="s">
        <v>185</v>
      </c>
      <c r="K205">
        <v>13</v>
      </c>
      <c r="M205" t="s">
        <v>185</v>
      </c>
      <c r="N205">
        <v>98500</v>
      </c>
    </row>
    <row r="206" spans="1:14">
      <c r="A206" t="s">
        <v>13</v>
      </c>
      <c r="B206" t="s">
        <v>486</v>
      </c>
      <c r="C206">
        <v>23300</v>
      </c>
      <c r="D206">
        <v>38</v>
      </c>
      <c r="E206">
        <v>32066</v>
      </c>
      <c r="F206" t="s">
        <v>59</v>
      </c>
      <c r="G206" t="s">
        <v>60</v>
      </c>
      <c r="H206">
        <v>9700</v>
      </c>
      <c r="I206" s="15">
        <v>25000</v>
      </c>
      <c r="J206" t="s">
        <v>38</v>
      </c>
      <c r="K206">
        <v>0</v>
      </c>
      <c r="M206" t="s">
        <v>38</v>
      </c>
      <c r="N206">
        <v>55500</v>
      </c>
    </row>
    <row r="207" spans="1:14">
      <c r="A207" t="s">
        <v>13</v>
      </c>
      <c r="B207" t="s">
        <v>487</v>
      </c>
      <c r="C207">
        <v>9600</v>
      </c>
      <c r="D207">
        <v>49</v>
      </c>
      <c r="E207">
        <v>28330</v>
      </c>
      <c r="F207" t="s">
        <v>65</v>
      </c>
      <c r="G207" t="s">
        <v>60</v>
      </c>
      <c r="H207">
        <v>11500</v>
      </c>
      <c r="I207">
        <v>44500</v>
      </c>
      <c r="J207" t="s">
        <v>38</v>
      </c>
      <c r="K207">
        <v>45</v>
      </c>
      <c r="M207" t="s">
        <v>38</v>
      </c>
      <c r="N207">
        <v>3000</v>
      </c>
    </row>
    <row r="208" spans="1:14">
      <c r="A208" t="s">
        <v>13</v>
      </c>
      <c r="B208" t="s">
        <v>488</v>
      </c>
      <c r="C208">
        <v>19000</v>
      </c>
      <c r="D208">
        <v>42</v>
      </c>
      <c r="E208" s="1">
        <v>30724</v>
      </c>
      <c r="F208" t="s">
        <v>92</v>
      </c>
      <c r="G208" t="s">
        <v>80</v>
      </c>
      <c r="H208">
        <v>18500</v>
      </c>
      <c r="I208" s="14">
        <v>59000</v>
      </c>
      <c r="J208" t="s">
        <v>38</v>
      </c>
      <c r="K208">
        <v>44</v>
      </c>
      <c r="M208" t="s">
        <v>38</v>
      </c>
      <c r="N208">
        <v>16500</v>
      </c>
    </row>
    <row r="209" spans="1:14">
      <c r="A209" t="s">
        <v>13</v>
      </c>
      <c r="B209" t="s">
        <v>489</v>
      </c>
      <c r="C209" t="s">
        <v>490</v>
      </c>
      <c r="D209">
        <v>18</v>
      </c>
      <c r="E209">
        <v>39338</v>
      </c>
      <c r="F209" t="s">
        <v>100</v>
      </c>
      <c r="G209" t="s">
        <v>93</v>
      </c>
      <c r="H209" s="15">
        <v>14100</v>
      </c>
      <c r="I209">
        <v>38500</v>
      </c>
      <c r="J209" t="s">
        <v>38</v>
      </c>
      <c r="K209">
        <v>7</v>
      </c>
      <c r="M209" t="s">
        <v>38</v>
      </c>
      <c r="N209">
        <v>11000</v>
      </c>
    </row>
    <row r="210" spans="1:14">
      <c r="A210" t="s">
        <v>13</v>
      </c>
      <c r="B210" t="s">
        <v>491</v>
      </c>
      <c r="C210">
        <v>4900</v>
      </c>
      <c r="D210">
        <v>18</v>
      </c>
      <c r="E210">
        <v>39369</v>
      </c>
      <c r="F210" t="s">
        <v>59</v>
      </c>
      <c r="G210" t="s">
        <v>214</v>
      </c>
      <c r="H210">
        <v>18500</v>
      </c>
      <c r="I210">
        <v>74500</v>
      </c>
      <c r="J210" t="s">
        <v>18</v>
      </c>
      <c r="K210">
        <v>20</v>
      </c>
      <c r="M210" t="s">
        <v>18</v>
      </c>
      <c r="N210">
        <v>45500</v>
      </c>
    </row>
    <row r="211" spans="1:14">
      <c r="A211" t="s">
        <v>19</v>
      </c>
      <c r="B211" t="s">
        <v>492</v>
      </c>
      <c r="C211" t="s">
        <v>493</v>
      </c>
      <c r="D211">
        <v>66</v>
      </c>
      <c r="E211" s="1">
        <v>22039</v>
      </c>
      <c r="F211" t="s">
        <v>122</v>
      </c>
      <c r="G211" t="s">
        <v>237</v>
      </c>
      <c r="H211" t="s">
        <v>494</v>
      </c>
      <c r="I211" t="s">
        <v>495</v>
      </c>
      <c r="J211" t="s">
        <v>38</v>
      </c>
      <c r="K211">
        <v>28</v>
      </c>
      <c r="M211" t="s">
        <v>38</v>
      </c>
      <c r="N211">
        <v>74500</v>
      </c>
    </row>
    <row r="212" spans="1:14">
      <c r="A212" t="s">
        <v>13</v>
      </c>
      <c r="B212" t="s">
        <v>496</v>
      </c>
      <c r="C212" t="s">
        <v>497</v>
      </c>
      <c r="D212">
        <v>35</v>
      </c>
      <c r="E212" s="1">
        <v>33336</v>
      </c>
      <c r="F212" t="s">
        <v>16</v>
      </c>
      <c r="G212" t="s">
        <v>17</v>
      </c>
      <c r="H212" t="s">
        <v>498</v>
      </c>
      <c r="I212">
        <v>54000</v>
      </c>
      <c r="J212">
        <v>0</v>
      </c>
      <c r="K212">
        <v>44</v>
      </c>
      <c r="M212">
        <v>0</v>
      </c>
      <c r="N212">
        <v>18000</v>
      </c>
    </row>
    <row r="213" spans="1:14">
      <c r="A213" t="s">
        <v>13</v>
      </c>
      <c r="B213" t="s">
        <v>499</v>
      </c>
      <c r="C213">
        <v>27800</v>
      </c>
      <c r="D213">
        <v>38</v>
      </c>
      <c r="E213">
        <v>32152</v>
      </c>
      <c r="F213" t="s">
        <v>500</v>
      </c>
      <c r="H213">
        <v>2000</v>
      </c>
      <c r="I213">
        <v>60000</v>
      </c>
      <c r="J213" t="s">
        <v>38</v>
      </c>
      <c r="K213" t="s">
        <v>501</v>
      </c>
      <c r="M213" t="s">
        <v>38</v>
      </c>
      <c r="N213">
        <v>54000</v>
      </c>
    </row>
    <row r="214" spans="1:14">
      <c r="A214" t="s">
        <v>19</v>
      </c>
      <c r="B214" t="s">
        <v>201</v>
      </c>
      <c r="C214" t="s">
        <v>202</v>
      </c>
      <c r="D214" t="s">
        <v>203</v>
      </c>
      <c r="E214" s="1">
        <v>29113</v>
      </c>
      <c r="F214" t="s">
        <v>100</v>
      </c>
      <c r="G214" t="s">
        <v>80</v>
      </c>
      <c r="H214">
        <v>15000</v>
      </c>
      <c r="I214">
        <v>0</v>
      </c>
      <c r="J214" t="s">
        <v>38</v>
      </c>
      <c r="K214">
        <v>40</v>
      </c>
      <c r="M214" t="s">
        <v>38</v>
      </c>
      <c r="N214">
        <v>90500</v>
      </c>
    </row>
    <row r="215" spans="1:14">
      <c r="A215" t="s">
        <v>13</v>
      </c>
      <c r="B215" t="s">
        <v>502</v>
      </c>
      <c r="C215" t="s">
        <v>503</v>
      </c>
      <c r="D215">
        <v>72</v>
      </c>
      <c r="E215">
        <v>19800</v>
      </c>
      <c r="F215" t="s">
        <v>76</v>
      </c>
      <c r="G215" t="s">
        <v>77</v>
      </c>
      <c r="H215">
        <v>24300</v>
      </c>
      <c r="I215">
        <v>13500</v>
      </c>
      <c r="J215" t="s">
        <v>38</v>
      </c>
      <c r="K215">
        <v>33</v>
      </c>
      <c r="M215" t="s">
        <v>38</v>
      </c>
      <c r="N215">
        <v>14500</v>
      </c>
    </row>
    <row r="216" spans="1:14">
      <c r="A216" t="s">
        <v>13</v>
      </c>
      <c r="B216" t="s">
        <v>504</v>
      </c>
      <c r="C216" t="s">
        <v>505</v>
      </c>
      <c r="D216">
        <v>69</v>
      </c>
      <c r="F216" t="s">
        <v>65</v>
      </c>
      <c r="G216" t="s">
        <v>60</v>
      </c>
      <c r="H216" s="15">
        <v>4500</v>
      </c>
      <c r="I216">
        <v>0</v>
      </c>
      <c r="J216" t="s">
        <v>18</v>
      </c>
      <c r="K216">
        <v>32</v>
      </c>
      <c r="M216" t="s">
        <v>18</v>
      </c>
      <c r="N216">
        <v>56500</v>
      </c>
    </row>
    <row r="217" spans="1:14">
      <c r="A217" t="s">
        <v>13</v>
      </c>
      <c r="B217" t="s">
        <v>506</v>
      </c>
      <c r="C217" t="s">
        <v>507</v>
      </c>
      <c r="D217">
        <v>22</v>
      </c>
      <c r="E217">
        <v>38079</v>
      </c>
      <c r="F217" t="s">
        <v>21</v>
      </c>
      <c r="G217" t="s">
        <v>22</v>
      </c>
      <c r="H217">
        <v>9200</v>
      </c>
      <c r="I217" s="14">
        <v>5000</v>
      </c>
      <c r="J217" t="s">
        <v>38</v>
      </c>
      <c r="K217">
        <v>42</v>
      </c>
      <c r="M217" t="s">
        <v>38</v>
      </c>
      <c r="N217">
        <v>63500</v>
      </c>
    </row>
    <row r="218" spans="1:14">
      <c r="A218" t="s">
        <v>13</v>
      </c>
      <c r="B218" t="s">
        <v>508</v>
      </c>
      <c r="C218" t="s">
        <v>509</v>
      </c>
      <c r="D218">
        <v>39</v>
      </c>
      <c r="E218">
        <v>31972</v>
      </c>
      <c r="F218" t="s">
        <v>76</v>
      </c>
      <c r="G218" t="s">
        <v>84</v>
      </c>
      <c r="H218">
        <v>8700</v>
      </c>
      <c r="I218" t="s">
        <v>172</v>
      </c>
      <c r="J218" t="s">
        <v>38</v>
      </c>
      <c r="K218">
        <v>16</v>
      </c>
      <c r="M218" t="s">
        <v>38</v>
      </c>
      <c r="N218">
        <v>93500</v>
      </c>
    </row>
    <row r="219" spans="1:14">
      <c r="A219" t="s">
        <v>13</v>
      </c>
      <c r="B219" t="s">
        <v>510</v>
      </c>
      <c r="C219">
        <v>9800</v>
      </c>
      <c r="D219">
        <v>35</v>
      </c>
      <c r="E219" s="1">
        <v>33440</v>
      </c>
      <c r="F219" t="s">
        <v>50</v>
      </c>
      <c r="G219" t="s">
        <v>205</v>
      </c>
      <c r="H219" s="14">
        <v>2000</v>
      </c>
      <c r="I219" s="14">
        <v>5500</v>
      </c>
      <c r="J219" t="s">
        <v>38</v>
      </c>
      <c r="K219">
        <v>34</v>
      </c>
      <c r="M219" t="s">
        <v>38</v>
      </c>
      <c r="N219">
        <v>71000</v>
      </c>
    </row>
    <row r="220" spans="1:14">
      <c r="A220" t="s">
        <v>13</v>
      </c>
      <c r="B220" t="s">
        <v>511</v>
      </c>
      <c r="C220" t="s">
        <v>512</v>
      </c>
      <c r="D220">
        <v>72</v>
      </c>
      <c r="E220">
        <v>19623</v>
      </c>
      <c r="F220" t="s">
        <v>41</v>
      </c>
      <c r="G220" t="s">
        <v>46</v>
      </c>
      <c r="H220" s="15">
        <v>12600</v>
      </c>
      <c r="I220" s="15">
        <v>5500</v>
      </c>
      <c r="J220" t="s">
        <v>38</v>
      </c>
      <c r="K220">
        <v>35</v>
      </c>
      <c r="M220" t="s">
        <v>38</v>
      </c>
      <c r="N220">
        <v>21000</v>
      </c>
    </row>
    <row r="221" spans="1:14">
      <c r="A221" t="s">
        <v>13</v>
      </c>
      <c r="B221" t="s">
        <v>513</v>
      </c>
      <c r="C221" t="s">
        <v>514</v>
      </c>
      <c r="D221">
        <v>24</v>
      </c>
      <c r="F221" t="s">
        <v>79</v>
      </c>
      <c r="G221" t="s">
        <v>80</v>
      </c>
      <c r="H221">
        <v>29300</v>
      </c>
      <c r="I221">
        <v>32000</v>
      </c>
      <c r="J221" t="s">
        <v>18</v>
      </c>
      <c r="K221">
        <v>26</v>
      </c>
      <c r="M221" t="s">
        <v>18</v>
      </c>
      <c r="N221">
        <v>59000</v>
      </c>
    </row>
    <row r="222" spans="1:14">
      <c r="A222" t="s">
        <v>19</v>
      </c>
      <c r="B222" t="s">
        <v>515</v>
      </c>
      <c r="C222" t="s">
        <v>516</v>
      </c>
      <c r="D222">
        <v>26</v>
      </c>
      <c r="E222">
        <v>36540</v>
      </c>
      <c r="F222" t="s">
        <v>26</v>
      </c>
      <c r="G222" t="s">
        <v>103</v>
      </c>
      <c r="H222">
        <v>24000</v>
      </c>
      <c r="I222" t="s">
        <v>517</v>
      </c>
      <c r="J222" t="s">
        <v>38</v>
      </c>
      <c r="K222">
        <v>30</v>
      </c>
      <c r="M222" t="s">
        <v>38</v>
      </c>
      <c r="N222">
        <v>62500</v>
      </c>
    </row>
    <row r="223" spans="1:14">
      <c r="A223" t="s">
        <v>13</v>
      </c>
      <c r="B223" t="s">
        <v>518</v>
      </c>
      <c r="C223" t="s">
        <v>519</v>
      </c>
      <c r="D223">
        <v>35</v>
      </c>
      <c r="E223">
        <v>33309</v>
      </c>
      <c r="F223" t="s">
        <v>76</v>
      </c>
      <c r="G223" t="s">
        <v>77</v>
      </c>
      <c r="H223">
        <v>28500</v>
      </c>
      <c r="I223" s="14">
        <v>48500</v>
      </c>
      <c r="J223" t="s">
        <v>38</v>
      </c>
      <c r="K223">
        <v>24</v>
      </c>
      <c r="M223" t="s">
        <v>38</v>
      </c>
      <c r="N223">
        <v>80500</v>
      </c>
    </row>
    <row r="224" spans="1:14">
      <c r="A224" t="s">
        <v>13</v>
      </c>
      <c r="B224" t="s">
        <v>520</v>
      </c>
      <c r="C224" t="s">
        <v>521</v>
      </c>
      <c r="D224">
        <v>23</v>
      </c>
      <c r="E224" s="1">
        <v>37785</v>
      </c>
      <c r="F224" t="s">
        <v>163</v>
      </c>
      <c r="G224" t="s">
        <v>354</v>
      </c>
      <c r="H224" s="15">
        <v>17900</v>
      </c>
      <c r="I224">
        <v>28000</v>
      </c>
      <c r="J224" t="s">
        <v>38</v>
      </c>
      <c r="K224">
        <v>41</v>
      </c>
      <c r="M224" t="s">
        <v>38</v>
      </c>
      <c r="N224">
        <v>52500</v>
      </c>
    </row>
    <row r="225" spans="1:14">
      <c r="A225" t="s">
        <v>19</v>
      </c>
      <c r="B225" t="s">
        <v>522</v>
      </c>
      <c r="C225" t="s">
        <v>523</v>
      </c>
      <c r="D225">
        <v>33</v>
      </c>
      <c r="E225">
        <v>33902</v>
      </c>
      <c r="F225" t="s">
        <v>111</v>
      </c>
      <c r="G225" t="s">
        <v>156</v>
      </c>
      <c r="H225">
        <v>12500</v>
      </c>
      <c r="I225">
        <v>51500</v>
      </c>
      <c r="J225" t="s">
        <v>18</v>
      </c>
      <c r="K225">
        <v>44</v>
      </c>
      <c r="M225" t="s">
        <v>18</v>
      </c>
      <c r="N225">
        <v>24000</v>
      </c>
    </row>
    <row r="226" spans="1:14">
      <c r="A226" t="s">
        <v>13</v>
      </c>
      <c r="B226" t="s">
        <v>511</v>
      </c>
      <c r="C226" t="s">
        <v>524</v>
      </c>
      <c r="D226">
        <v>63</v>
      </c>
      <c r="E226" s="1">
        <v>22900</v>
      </c>
      <c r="F226" t="s">
        <v>122</v>
      </c>
      <c r="G226" t="s">
        <v>122</v>
      </c>
      <c r="H226">
        <v>5500</v>
      </c>
      <c r="I226" s="14">
        <v>41000</v>
      </c>
      <c r="J226" t="s">
        <v>38</v>
      </c>
      <c r="K226">
        <v>2</v>
      </c>
      <c r="M226" t="s">
        <v>38</v>
      </c>
      <c r="N226">
        <v>54500</v>
      </c>
    </row>
    <row r="227" spans="1:14">
      <c r="A227" t="s">
        <v>19</v>
      </c>
      <c r="B227" t="s">
        <v>525</v>
      </c>
      <c r="C227" t="s">
        <v>526</v>
      </c>
      <c r="D227">
        <v>31</v>
      </c>
      <c r="E227" s="1">
        <v>34885</v>
      </c>
      <c r="F227" t="s">
        <v>26</v>
      </c>
      <c r="G227" t="s">
        <v>27</v>
      </c>
      <c r="H227" s="15">
        <v>16400</v>
      </c>
      <c r="I227" t="s">
        <v>527</v>
      </c>
      <c r="J227" t="s">
        <v>30</v>
      </c>
      <c r="K227">
        <v>6</v>
      </c>
      <c r="M227" t="s">
        <v>30</v>
      </c>
      <c r="N227">
        <v>49500</v>
      </c>
    </row>
    <row r="228" spans="1:14">
      <c r="A228" t="s">
        <v>43</v>
      </c>
      <c r="B228" t="s">
        <v>528</v>
      </c>
      <c r="C228" t="s">
        <v>529</v>
      </c>
      <c r="D228">
        <v>71</v>
      </c>
      <c r="E228" s="1">
        <v>20000</v>
      </c>
      <c r="F228" t="s">
        <v>183</v>
      </c>
      <c r="G228" t="s">
        <v>184</v>
      </c>
      <c r="H228">
        <v>15100</v>
      </c>
      <c r="I228" t="s">
        <v>29</v>
      </c>
      <c r="J228" t="s">
        <v>38</v>
      </c>
      <c r="K228">
        <v>42</v>
      </c>
      <c r="M228" t="s">
        <v>38</v>
      </c>
      <c r="N228">
        <v>77000</v>
      </c>
    </row>
    <row r="229" spans="1:14">
      <c r="A229" t="s">
        <v>13</v>
      </c>
      <c r="B229" t="s">
        <v>530</v>
      </c>
      <c r="C229">
        <v>21900</v>
      </c>
      <c r="D229">
        <v>67</v>
      </c>
      <c r="E229">
        <v>21619</v>
      </c>
      <c r="F229" t="s">
        <v>21</v>
      </c>
      <c r="G229" t="s">
        <v>73</v>
      </c>
      <c r="H229">
        <v>20200</v>
      </c>
      <c r="I229">
        <v>6500</v>
      </c>
      <c r="J229" t="s">
        <v>38</v>
      </c>
      <c r="K229">
        <v>1</v>
      </c>
      <c r="M229" t="s">
        <v>38</v>
      </c>
      <c r="N229">
        <v>98500</v>
      </c>
    </row>
    <row r="230" spans="1:14">
      <c r="A230" t="s">
        <v>13</v>
      </c>
      <c r="B230" t="s">
        <v>531</v>
      </c>
      <c r="C230" t="s">
        <v>532</v>
      </c>
      <c r="D230">
        <v>27</v>
      </c>
      <c r="E230" s="1">
        <v>36288</v>
      </c>
      <c r="F230" t="s">
        <v>108</v>
      </c>
      <c r="G230" t="s">
        <v>80</v>
      </c>
      <c r="H230">
        <v>29700</v>
      </c>
      <c r="I230">
        <v>12000</v>
      </c>
      <c r="J230" t="s">
        <v>38</v>
      </c>
      <c r="K230">
        <v>37</v>
      </c>
      <c r="M230" t="s">
        <v>38</v>
      </c>
      <c r="N230">
        <v>49000</v>
      </c>
    </row>
    <row r="231" spans="1:14">
      <c r="A231" t="s">
        <v>13</v>
      </c>
      <c r="B231" t="s">
        <v>533</v>
      </c>
      <c r="C231" t="s">
        <v>534</v>
      </c>
      <c r="D231">
        <v>25</v>
      </c>
      <c r="E231" s="1">
        <v>37056</v>
      </c>
      <c r="F231" t="s">
        <v>100</v>
      </c>
      <c r="G231" t="s">
        <v>80</v>
      </c>
      <c r="H231">
        <v>25400</v>
      </c>
      <c r="I231">
        <v>4000</v>
      </c>
      <c r="J231" t="s">
        <v>38</v>
      </c>
      <c r="K231">
        <v>4</v>
      </c>
      <c r="M231" t="s">
        <v>38</v>
      </c>
      <c r="N231">
        <v>8500</v>
      </c>
    </row>
    <row r="232" spans="1:14">
      <c r="A232" t="s">
        <v>13</v>
      </c>
      <c r="B232" t="s">
        <v>535</v>
      </c>
      <c r="C232" t="s">
        <v>536</v>
      </c>
      <c r="D232">
        <v>70</v>
      </c>
      <c r="E232">
        <v>20533</v>
      </c>
      <c r="F232" t="s">
        <v>183</v>
      </c>
      <c r="G232" t="s">
        <v>397</v>
      </c>
      <c r="H232">
        <v>9100</v>
      </c>
      <c r="I232">
        <v>40500</v>
      </c>
      <c r="J232" t="s">
        <v>38</v>
      </c>
      <c r="K232">
        <v>35</v>
      </c>
      <c r="M232" t="s">
        <v>38</v>
      </c>
      <c r="N232">
        <v>53000</v>
      </c>
    </row>
    <row r="233" spans="1:14">
      <c r="A233" t="s">
        <v>19</v>
      </c>
      <c r="B233" t="s">
        <v>537</v>
      </c>
      <c r="C233" t="s">
        <v>538</v>
      </c>
      <c r="D233">
        <v>57</v>
      </c>
      <c r="E233" s="1">
        <v>25324</v>
      </c>
      <c r="F233" t="s">
        <v>92</v>
      </c>
      <c r="G233" t="s">
        <v>93</v>
      </c>
      <c r="H233">
        <v>9500</v>
      </c>
      <c r="I233">
        <v>58000</v>
      </c>
      <c r="J233" t="s">
        <v>129</v>
      </c>
      <c r="K233">
        <v>23</v>
      </c>
      <c r="M233" t="s">
        <v>129</v>
      </c>
      <c r="N233">
        <v>81500</v>
      </c>
    </row>
    <row r="234" spans="1:14">
      <c r="A234" t="s">
        <v>19</v>
      </c>
      <c r="B234" t="s">
        <v>539</v>
      </c>
      <c r="C234" t="s">
        <v>540</v>
      </c>
      <c r="D234">
        <v>58</v>
      </c>
      <c r="E234">
        <v>25054</v>
      </c>
      <c r="F234" t="s">
        <v>163</v>
      </c>
      <c r="G234" t="s">
        <v>103</v>
      </c>
      <c r="H234" s="14">
        <v>4500</v>
      </c>
      <c r="I234" s="14">
        <v>20000</v>
      </c>
      <c r="J234" t="s">
        <v>18</v>
      </c>
      <c r="K234">
        <v>9</v>
      </c>
      <c r="M234" t="s">
        <v>18</v>
      </c>
      <c r="N234">
        <v>49000</v>
      </c>
    </row>
    <row r="235" spans="1:14">
      <c r="A235" t="s">
        <v>19</v>
      </c>
      <c r="B235" t="s">
        <v>541</v>
      </c>
      <c r="C235">
        <v>6400</v>
      </c>
      <c r="D235">
        <v>57</v>
      </c>
      <c r="E235">
        <v>25206</v>
      </c>
      <c r="F235" t="s">
        <v>76</v>
      </c>
      <c r="G235" t="s">
        <v>294</v>
      </c>
      <c r="H235">
        <v>3400</v>
      </c>
      <c r="I235">
        <v>0</v>
      </c>
      <c r="J235" t="s">
        <v>38</v>
      </c>
      <c r="K235">
        <v>20</v>
      </c>
      <c r="M235" t="s">
        <v>38</v>
      </c>
      <c r="N235">
        <v>19500</v>
      </c>
    </row>
    <row r="236" spans="1:14">
      <c r="A236" t="s">
        <v>13</v>
      </c>
      <c r="B236" t="s">
        <v>542</v>
      </c>
      <c r="C236" t="s">
        <v>543</v>
      </c>
      <c r="D236">
        <v>65</v>
      </c>
      <c r="E236" s="1">
        <v>22366</v>
      </c>
      <c r="F236" t="s">
        <v>111</v>
      </c>
      <c r="G236" t="s">
        <v>156</v>
      </c>
      <c r="H236" s="15">
        <v>18000</v>
      </c>
      <c r="I236">
        <v>0</v>
      </c>
      <c r="J236" t="s">
        <v>38</v>
      </c>
      <c r="K236">
        <v>27</v>
      </c>
      <c r="M236" t="s">
        <v>38</v>
      </c>
      <c r="N236">
        <v>38500</v>
      </c>
    </row>
    <row r="237" spans="1:14">
      <c r="A237" t="s">
        <v>13</v>
      </c>
      <c r="B237" t="s">
        <v>544</v>
      </c>
      <c r="C237" t="s">
        <v>545</v>
      </c>
      <c r="D237">
        <v>39</v>
      </c>
      <c r="E237" s="1">
        <v>31814</v>
      </c>
      <c r="F237" t="s">
        <v>92</v>
      </c>
      <c r="G237" t="s">
        <v>80</v>
      </c>
      <c r="H237" s="14">
        <v>9300</v>
      </c>
      <c r="I237" s="14">
        <v>36500</v>
      </c>
      <c r="J237" t="s">
        <v>38</v>
      </c>
      <c r="M237" t="s">
        <v>38</v>
      </c>
      <c r="N237">
        <v>3000</v>
      </c>
    </row>
    <row r="238" spans="1:14">
      <c r="A238" t="s">
        <v>13</v>
      </c>
      <c r="B238" t="s">
        <v>546</v>
      </c>
      <c r="C238">
        <v>30500</v>
      </c>
      <c r="D238">
        <v>62</v>
      </c>
      <c r="E238">
        <v>23278</v>
      </c>
      <c r="F238" t="s">
        <v>79</v>
      </c>
      <c r="G238" t="s">
        <v>80</v>
      </c>
      <c r="H238">
        <v>17000</v>
      </c>
      <c r="I238">
        <v>64000</v>
      </c>
      <c r="J238" t="s">
        <v>18</v>
      </c>
      <c r="K238">
        <v>21</v>
      </c>
      <c r="M238" t="s">
        <v>18</v>
      </c>
      <c r="N238">
        <v>19000</v>
      </c>
    </row>
    <row r="239" spans="1:14">
      <c r="A239" t="s">
        <v>19</v>
      </c>
      <c r="B239" t="s">
        <v>547</v>
      </c>
      <c r="C239" t="s">
        <v>548</v>
      </c>
      <c r="D239">
        <v>69</v>
      </c>
      <c r="E239">
        <v>20785</v>
      </c>
      <c r="F239" t="s">
        <v>79</v>
      </c>
      <c r="G239" t="s">
        <v>93</v>
      </c>
      <c r="H239">
        <v>16000</v>
      </c>
      <c r="I239" s="14">
        <v>48000</v>
      </c>
      <c r="J239" t="s">
        <v>38</v>
      </c>
      <c r="K239">
        <v>29</v>
      </c>
      <c r="M239" t="s">
        <v>38</v>
      </c>
      <c r="N239">
        <v>74500</v>
      </c>
    </row>
    <row r="240" spans="1:14">
      <c r="A240" t="s">
        <v>19</v>
      </c>
      <c r="B240" t="s">
        <v>549</v>
      </c>
      <c r="C240">
        <v>27100</v>
      </c>
      <c r="D240">
        <v>55</v>
      </c>
      <c r="E240" s="1">
        <v>25895</v>
      </c>
      <c r="F240" t="s">
        <v>59</v>
      </c>
      <c r="G240" t="s">
        <v>60</v>
      </c>
      <c r="H240">
        <v>6800</v>
      </c>
      <c r="I240">
        <v>12000</v>
      </c>
      <c r="J240" t="s">
        <v>38</v>
      </c>
      <c r="K240">
        <v>6</v>
      </c>
      <c r="M240" t="s">
        <v>38</v>
      </c>
      <c r="N240">
        <v>11000</v>
      </c>
    </row>
    <row r="241" spans="1:14">
      <c r="A241" t="s">
        <v>13</v>
      </c>
      <c r="B241" t="s">
        <v>550</v>
      </c>
      <c r="C241" t="s">
        <v>551</v>
      </c>
      <c r="D241">
        <v>25</v>
      </c>
      <c r="E241" s="1">
        <v>37026</v>
      </c>
      <c r="F241" t="s">
        <v>243</v>
      </c>
      <c r="G241" t="s">
        <v>22</v>
      </c>
      <c r="H241">
        <v>28200</v>
      </c>
      <c r="I241">
        <v>0</v>
      </c>
      <c r="J241" t="s">
        <v>38</v>
      </c>
      <c r="K241">
        <v>29</v>
      </c>
      <c r="M241" t="s">
        <v>38</v>
      </c>
      <c r="N241">
        <v>92500</v>
      </c>
    </row>
    <row r="242" spans="1:14">
      <c r="A242" t="s">
        <v>19</v>
      </c>
      <c r="B242" t="s">
        <v>305</v>
      </c>
      <c r="C242">
        <v>34900</v>
      </c>
      <c r="D242" t="s">
        <v>552</v>
      </c>
      <c r="E242">
        <v>34387</v>
      </c>
      <c r="F242" t="s">
        <v>79</v>
      </c>
      <c r="G242" t="s">
        <v>80</v>
      </c>
      <c r="H242">
        <v>20500</v>
      </c>
      <c r="I242">
        <v>0</v>
      </c>
      <c r="J242" t="s">
        <v>38</v>
      </c>
      <c r="K242" t="s">
        <v>362</v>
      </c>
      <c r="M242" t="s">
        <v>38</v>
      </c>
      <c r="N242">
        <v>54500</v>
      </c>
    </row>
    <row r="243" spans="1:14">
      <c r="A243" t="s">
        <v>13</v>
      </c>
      <c r="B243" t="s">
        <v>553</v>
      </c>
      <c r="C243" t="s">
        <v>554</v>
      </c>
      <c r="D243">
        <v>53</v>
      </c>
      <c r="E243">
        <v>26620</v>
      </c>
      <c r="F243" t="s">
        <v>16</v>
      </c>
      <c r="G243" t="s">
        <v>37</v>
      </c>
      <c r="H243" s="14">
        <v>21300</v>
      </c>
      <c r="I243">
        <v>79500</v>
      </c>
      <c r="J243" t="s">
        <v>38</v>
      </c>
      <c r="K243" t="s">
        <v>501</v>
      </c>
      <c r="M243" t="s">
        <v>38</v>
      </c>
      <c r="N243">
        <v>19000</v>
      </c>
    </row>
    <row r="244" spans="1:14">
      <c r="A244" t="s">
        <v>13</v>
      </c>
      <c r="B244" t="s">
        <v>555</v>
      </c>
      <c r="C244" t="s">
        <v>556</v>
      </c>
      <c r="D244">
        <v>69</v>
      </c>
      <c r="E244" s="1">
        <v>20943</v>
      </c>
      <c r="F244" t="s">
        <v>468</v>
      </c>
      <c r="H244">
        <v>13800</v>
      </c>
      <c r="I244">
        <v>62000</v>
      </c>
      <c r="J244" t="s">
        <v>38</v>
      </c>
      <c r="K244">
        <v>31</v>
      </c>
      <c r="M244" t="s">
        <v>38</v>
      </c>
      <c r="N244">
        <v>60500</v>
      </c>
    </row>
    <row r="245" spans="1:14">
      <c r="A245" t="s">
        <v>13</v>
      </c>
      <c r="B245" t="s">
        <v>557</v>
      </c>
      <c r="C245" t="s">
        <v>558</v>
      </c>
      <c r="D245">
        <v>27</v>
      </c>
      <c r="E245">
        <v>36316</v>
      </c>
      <c r="F245" t="s">
        <v>86</v>
      </c>
      <c r="G245" t="s">
        <v>156</v>
      </c>
      <c r="H245" s="15">
        <v>10700</v>
      </c>
      <c r="I245" t="s">
        <v>559</v>
      </c>
      <c r="J245" t="s">
        <v>38</v>
      </c>
      <c r="K245">
        <v>44</v>
      </c>
      <c r="M245" t="s">
        <v>38</v>
      </c>
      <c r="N245">
        <v>48000</v>
      </c>
    </row>
    <row r="246" spans="1:14">
      <c r="A246" t="s">
        <v>13</v>
      </c>
      <c r="B246" t="s">
        <v>560</v>
      </c>
      <c r="C246">
        <v>19300</v>
      </c>
      <c r="D246">
        <v>74</v>
      </c>
      <c r="E246" s="1">
        <v>19131</v>
      </c>
      <c r="F246" t="s">
        <v>163</v>
      </c>
      <c r="G246" t="s">
        <v>272</v>
      </c>
      <c r="H246">
        <v>20700</v>
      </c>
      <c r="I246" s="14">
        <v>17500</v>
      </c>
      <c r="J246" t="s">
        <v>38</v>
      </c>
      <c r="K246">
        <v>35</v>
      </c>
      <c r="M246" t="s">
        <v>38</v>
      </c>
      <c r="N246">
        <v>65000</v>
      </c>
    </row>
    <row r="247" spans="1:14">
      <c r="A247" t="s">
        <v>198</v>
      </c>
      <c r="B247" t="s">
        <v>561</v>
      </c>
      <c r="C247" t="s">
        <v>562</v>
      </c>
      <c r="E247">
        <v>39230</v>
      </c>
      <c r="F247" t="s">
        <v>111</v>
      </c>
      <c r="G247" t="s">
        <v>87</v>
      </c>
      <c r="H247" t="s">
        <v>563</v>
      </c>
      <c r="I247" s="15">
        <v>49500</v>
      </c>
      <c r="J247" t="s">
        <v>38</v>
      </c>
      <c r="K247">
        <v>25</v>
      </c>
      <c r="M247" t="s">
        <v>38</v>
      </c>
      <c r="N247">
        <v>46500</v>
      </c>
    </row>
    <row r="248" spans="1:14">
      <c r="A248" t="s">
        <v>19</v>
      </c>
      <c r="B248" t="s">
        <v>515</v>
      </c>
      <c r="C248" t="s">
        <v>516</v>
      </c>
      <c r="D248">
        <v>26</v>
      </c>
      <c r="E248">
        <v>36540</v>
      </c>
      <c r="F248" t="s">
        <v>26</v>
      </c>
      <c r="G248" t="s">
        <v>103</v>
      </c>
      <c r="H248">
        <v>24000</v>
      </c>
      <c r="I248" t="s">
        <v>517</v>
      </c>
      <c r="J248" t="s">
        <v>38</v>
      </c>
      <c r="K248">
        <v>30</v>
      </c>
      <c r="M248" t="s">
        <v>38</v>
      </c>
      <c r="N248">
        <v>11500</v>
      </c>
    </row>
    <row r="249" spans="1:14">
      <c r="A249" t="s">
        <v>13</v>
      </c>
      <c r="B249" t="s">
        <v>564</v>
      </c>
      <c r="C249" t="s">
        <v>565</v>
      </c>
      <c r="D249">
        <v>47</v>
      </c>
      <c r="E249" s="1">
        <v>28841</v>
      </c>
      <c r="F249" t="s">
        <v>122</v>
      </c>
      <c r="G249" t="s">
        <v>122</v>
      </c>
      <c r="H249" t="s">
        <v>566</v>
      </c>
      <c r="I249" s="15">
        <v>62000</v>
      </c>
      <c r="J249" t="s">
        <v>18</v>
      </c>
      <c r="K249">
        <v>37</v>
      </c>
      <c r="M249" t="s">
        <v>18</v>
      </c>
      <c r="N249">
        <v>92500</v>
      </c>
    </row>
    <row r="250" spans="1:14">
      <c r="A250" t="s">
        <v>13</v>
      </c>
      <c r="B250" t="s">
        <v>567</v>
      </c>
      <c r="C250" t="s">
        <v>568</v>
      </c>
      <c r="D250">
        <v>34</v>
      </c>
      <c r="E250">
        <v>33746</v>
      </c>
      <c r="F250" t="s">
        <v>122</v>
      </c>
      <c r="G250" t="s">
        <v>122</v>
      </c>
      <c r="H250">
        <v>28900</v>
      </c>
      <c r="I250">
        <v>37000</v>
      </c>
      <c r="J250" t="s">
        <v>38</v>
      </c>
      <c r="K250">
        <v>21</v>
      </c>
      <c r="M250" t="s">
        <v>38</v>
      </c>
      <c r="N250">
        <v>97500</v>
      </c>
    </row>
    <row r="251" spans="1:14">
      <c r="A251" t="s">
        <v>13</v>
      </c>
      <c r="B251" t="s">
        <v>569</v>
      </c>
      <c r="C251" t="s">
        <v>570</v>
      </c>
      <c r="D251">
        <v>30</v>
      </c>
      <c r="E251" s="1">
        <v>35180</v>
      </c>
      <c r="F251" t="s">
        <v>92</v>
      </c>
      <c r="G251" t="s">
        <v>80</v>
      </c>
      <c r="H251" s="14">
        <v>13800</v>
      </c>
      <c r="I251">
        <v>42000</v>
      </c>
      <c r="K251">
        <v>29</v>
      </c>
      <c r="N251">
        <v>7000</v>
      </c>
    </row>
    <row r="252" spans="1:14">
      <c r="A252" t="s">
        <v>19</v>
      </c>
      <c r="B252" t="s">
        <v>571</v>
      </c>
      <c r="C252" t="s">
        <v>572</v>
      </c>
      <c r="D252">
        <v>67</v>
      </c>
      <c r="E252" s="1">
        <v>21674</v>
      </c>
      <c r="F252" t="s">
        <v>183</v>
      </c>
      <c r="G252" t="s">
        <v>397</v>
      </c>
      <c r="H252">
        <v>15200</v>
      </c>
      <c r="I252">
        <v>67500</v>
      </c>
      <c r="J252" t="s">
        <v>38</v>
      </c>
      <c r="K252">
        <v>12</v>
      </c>
      <c r="M252" t="s">
        <v>38</v>
      </c>
      <c r="N252">
        <v>97500</v>
      </c>
    </row>
    <row r="253" spans="1:14">
      <c r="A253" t="s">
        <v>13</v>
      </c>
      <c r="B253" t="s">
        <v>573</v>
      </c>
      <c r="C253" t="s">
        <v>574</v>
      </c>
      <c r="D253">
        <v>59</v>
      </c>
      <c r="E253" s="1">
        <v>24578</v>
      </c>
      <c r="F253" t="s">
        <v>183</v>
      </c>
      <c r="H253">
        <v>6600</v>
      </c>
      <c r="I253">
        <v>50000</v>
      </c>
      <c r="J253" t="s">
        <v>18</v>
      </c>
      <c r="K253">
        <v>9</v>
      </c>
      <c r="M253" t="s">
        <v>18</v>
      </c>
      <c r="N253">
        <v>25000</v>
      </c>
    </row>
    <row r="254" spans="1:14">
      <c r="A254" t="s">
        <v>19</v>
      </c>
      <c r="B254" t="s">
        <v>575</v>
      </c>
      <c r="C254">
        <v>24300</v>
      </c>
      <c r="D254">
        <v>25</v>
      </c>
      <c r="E254">
        <v>37131</v>
      </c>
      <c r="F254" t="s">
        <v>41</v>
      </c>
      <c r="G254" t="s">
        <v>46</v>
      </c>
      <c r="H254" s="14">
        <v>24500</v>
      </c>
      <c r="I254" t="s">
        <v>29</v>
      </c>
      <c r="J254">
        <v>0</v>
      </c>
      <c r="K254">
        <v>0</v>
      </c>
      <c r="M254">
        <v>0</v>
      </c>
      <c r="N254">
        <v>55000</v>
      </c>
    </row>
    <row r="255" spans="1:14">
      <c r="A255" t="s">
        <v>13</v>
      </c>
      <c r="B255" t="s">
        <v>576</v>
      </c>
      <c r="C255" t="s">
        <v>577</v>
      </c>
      <c r="E255">
        <v>32796</v>
      </c>
      <c r="F255" t="s">
        <v>26</v>
      </c>
      <c r="G255" t="s">
        <v>27</v>
      </c>
      <c r="H255">
        <v>28600</v>
      </c>
      <c r="J255" t="s">
        <v>38</v>
      </c>
      <c r="K255">
        <v>19</v>
      </c>
      <c r="M255" t="s">
        <v>38</v>
      </c>
      <c r="N255">
        <v>90000</v>
      </c>
    </row>
    <row r="256" spans="1:14">
      <c r="A256" t="s">
        <v>19</v>
      </c>
      <c r="B256" t="s">
        <v>578</v>
      </c>
      <c r="C256" t="s">
        <v>579</v>
      </c>
      <c r="D256">
        <v>36</v>
      </c>
      <c r="E256">
        <v>32914</v>
      </c>
      <c r="F256" t="s">
        <v>183</v>
      </c>
      <c r="G256" t="s">
        <v>397</v>
      </c>
      <c r="H256">
        <v>27600</v>
      </c>
      <c r="I256">
        <v>37000</v>
      </c>
      <c r="J256" t="s">
        <v>38</v>
      </c>
      <c r="K256">
        <v>15</v>
      </c>
      <c r="M256" t="s">
        <v>38</v>
      </c>
      <c r="N256">
        <v>41500</v>
      </c>
    </row>
    <row r="257" spans="1:14">
      <c r="A257" t="s">
        <v>19</v>
      </c>
      <c r="B257" t="s">
        <v>580</v>
      </c>
      <c r="C257">
        <v>17100</v>
      </c>
      <c r="D257">
        <v>45</v>
      </c>
      <c r="E257">
        <v>29506</v>
      </c>
      <c r="F257" t="s">
        <v>243</v>
      </c>
      <c r="G257" t="s">
        <v>22</v>
      </c>
      <c r="H257">
        <v>5100</v>
      </c>
      <c r="I257" s="14">
        <v>25000</v>
      </c>
      <c r="J257" t="s">
        <v>38</v>
      </c>
      <c r="K257">
        <v>29</v>
      </c>
      <c r="M257" t="s">
        <v>38</v>
      </c>
      <c r="N257">
        <v>88000</v>
      </c>
    </row>
    <row r="258" spans="1:14">
      <c r="A258" t="s">
        <v>43</v>
      </c>
      <c r="B258" t="s">
        <v>581</v>
      </c>
      <c r="C258" t="s">
        <v>582</v>
      </c>
      <c r="D258">
        <v>56</v>
      </c>
      <c r="E258">
        <v>25551</v>
      </c>
      <c r="F258" t="s">
        <v>122</v>
      </c>
      <c r="G258" t="s">
        <v>122</v>
      </c>
      <c r="H258" s="15">
        <v>22600</v>
      </c>
      <c r="I258">
        <v>63000</v>
      </c>
      <c r="J258" t="s">
        <v>38</v>
      </c>
      <c r="K258">
        <v>33</v>
      </c>
      <c r="M258" t="s">
        <v>38</v>
      </c>
      <c r="N258">
        <v>53000</v>
      </c>
    </row>
    <row r="259" spans="1:14">
      <c r="A259" t="s">
        <v>13</v>
      </c>
      <c r="B259" t="s">
        <v>583</v>
      </c>
      <c r="C259" t="s">
        <v>584</v>
      </c>
      <c r="D259">
        <v>47</v>
      </c>
      <c r="E259" s="1">
        <v>29007</v>
      </c>
      <c r="F259" t="s">
        <v>59</v>
      </c>
      <c r="G259" t="s">
        <v>60</v>
      </c>
      <c r="H259">
        <v>5000</v>
      </c>
      <c r="I259" s="15">
        <v>75500</v>
      </c>
      <c r="J259" t="s">
        <v>18</v>
      </c>
      <c r="K259">
        <v>2</v>
      </c>
      <c r="M259" t="s">
        <v>18</v>
      </c>
      <c r="N259">
        <v>89500</v>
      </c>
    </row>
    <row r="260" spans="1:14">
      <c r="A260" t="s">
        <v>13</v>
      </c>
      <c r="B260" t="s">
        <v>101</v>
      </c>
      <c r="C260" t="s">
        <v>585</v>
      </c>
      <c r="D260">
        <v>44</v>
      </c>
      <c r="E260" s="1">
        <v>30069</v>
      </c>
      <c r="F260" t="s">
        <v>76</v>
      </c>
      <c r="G260" t="s">
        <v>77</v>
      </c>
      <c r="H260">
        <v>21700</v>
      </c>
      <c r="I260">
        <v>34500</v>
      </c>
      <c r="J260" t="s">
        <v>185</v>
      </c>
      <c r="K260">
        <v>29</v>
      </c>
      <c r="M260" t="s">
        <v>185</v>
      </c>
      <c r="N260">
        <v>10500</v>
      </c>
    </row>
    <row r="261" spans="1:14">
      <c r="A261" t="s">
        <v>13</v>
      </c>
      <c r="B261" t="s">
        <v>586</v>
      </c>
      <c r="C261">
        <v>15900</v>
      </c>
      <c r="D261">
        <v>26</v>
      </c>
      <c r="E261" s="1">
        <v>36411</v>
      </c>
      <c r="F261" t="s">
        <v>76</v>
      </c>
      <c r="G261" t="s">
        <v>77</v>
      </c>
      <c r="H261" t="s">
        <v>587</v>
      </c>
      <c r="I261" s="14">
        <v>68500</v>
      </c>
      <c r="J261" t="s">
        <v>38</v>
      </c>
      <c r="K261">
        <v>27</v>
      </c>
      <c r="M261" t="s">
        <v>38</v>
      </c>
      <c r="N261">
        <v>7000</v>
      </c>
    </row>
    <row r="262" spans="1:14">
      <c r="A262" t="s">
        <v>19</v>
      </c>
      <c r="B262" t="s">
        <v>588</v>
      </c>
      <c r="C262" t="s">
        <v>589</v>
      </c>
      <c r="D262">
        <v>49</v>
      </c>
      <c r="E262" s="1">
        <v>28286</v>
      </c>
      <c r="F262" t="s">
        <v>50</v>
      </c>
      <c r="G262" t="s">
        <v>51</v>
      </c>
      <c r="H262">
        <v>21900</v>
      </c>
      <c r="I262">
        <v>69000</v>
      </c>
      <c r="J262" t="s">
        <v>38</v>
      </c>
      <c r="K262" t="s">
        <v>590</v>
      </c>
      <c r="M262" t="s">
        <v>38</v>
      </c>
      <c r="N262">
        <v>80500</v>
      </c>
    </row>
    <row r="263" spans="1:14">
      <c r="A263" t="s">
        <v>13</v>
      </c>
      <c r="B263" t="s">
        <v>591</v>
      </c>
      <c r="C263" t="s">
        <v>592</v>
      </c>
      <c r="D263">
        <v>71</v>
      </c>
      <c r="E263">
        <v>20187</v>
      </c>
      <c r="F263" t="s">
        <v>65</v>
      </c>
      <c r="G263" t="s">
        <v>60</v>
      </c>
      <c r="H263">
        <v>29200</v>
      </c>
      <c r="I263">
        <v>73500</v>
      </c>
      <c r="J263" t="s">
        <v>38</v>
      </c>
      <c r="K263">
        <v>2</v>
      </c>
      <c r="M263" t="s">
        <v>38</v>
      </c>
      <c r="N263">
        <v>33000</v>
      </c>
    </row>
    <row r="264" spans="1:14">
      <c r="A264" t="s">
        <v>13</v>
      </c>
      <c r="B264" t="s">
        <v>593</v>
      </c>
      <c r="C264" t="s">
        <v>594</v>
      </c>
      <c r="D264">
        <v>65</v>
      </c>
      <c r="E264">
        <v>22314</v>
      </c>
      <c r="F264" t="s">
        <v>21</v>
      </c>
      <c r="G264" t="s">
        <v>244</v>
      </c>
      <c r="H264">
        <v>6100</v>
      </c>
      <c r="I264">
        <v>40000</v>
      </c>
      <c r="J264" t="s">
        <v>38</v>
      </c>
      <c r="K264" t="s">
        <v>595</v>
      </c>
      <c r="M264" t="s">
        <v>38</v>
      </c>
      <c r="N264">
        <v>22500</v>
      </c>
    </row>
    <row r="265" spans="1:14">
      <c r="A265" t="s">
        <v>13</v>
      </c>
      <c r="B265" t="s">
        <v>596</v>
      </c>
      <c r="C265" t="s">
        <v>597</v>
      </c>
      <c r="D265">
        <v>65</v>
      </c>
      <c r="E265">
        <v>22297</v>
      </c>
      <c r="F265" t="s">
        <v>41</v>
      </c>
      <c r="G265" t="s">
        <v>46</v>
      </c>
      <c r="H265" s="15">
        <v>27300</v>
      </c>
      <c r="I265">
        <v>48500</v>
      </c>
      <c r="J265" t="s">
        <v>38</v>
      </c>
      <c r="K265">
        <v>29</v>
      </c>
      <c r="M265" t="s">
        <v>38</v>
      </c>
      <c r="N265">
        <v>94000</v>
      </c>
    </row>
    <row r="266" spans="1:14">
      <c r="A266" t="s">
        <v>13</v>
      </c>
      <c r="B266" t="s">
        <v>598</v>
      </c>
      <c r="C266" t="s">
        <v>599</v>
      </c>
      <c r="D266">
        <v>57</v>
      </c>
      <c r="E266">
        <v>25350</v>
      </c>
      <c r="F266" t="s">
        <v>107</v>
      </c>
      <c r="G266" t="s">
        <v>77</v>
      </c>
      <c r="H266">
        <v>20600</v>
      </c>
      <c r="I266">
        <v>52500</v>
      </c>
      <c r="K266">
        <v>16</v>
      </c>
      <c r="N266">
        <v>97000</v>
      </c>
    </row>
    <row r="267" spans="1:14">
      <c r="A267" t="s">
        <v>13</v>
      </c>
      <c r="B267" t="s">
        <v>600</v>
      </c>
      <c r="C267">
        <v>2800</v>
      </c>
      <c r="D267">
        <v>24</v>
      </c>
      <c r="E267">
        <v>37470</v>
      </c>
      <c r="F267" t="s">
        <v>243</v>
      </c>
      <c r="G267" t="s">
        <v>126</v>
      </c>
      <c r="H267">
        <v>16900</v>
      </c>
      <c r="I267">
        <v>42500</v>
      </c>
      <c r="J267" t="s">
        <v>18</v>
      </c>
      <c r="K267" t="s">
        <v>601</v>
      </c>
      <c r="M267" t="s">
        <v>18</v>
      </c>
      <c r="N267">
        <v>12500</v>
      </c>
    </row>
    <row r="268" spans="1:14">
      <c r="A268" t="s">
        <v>19</v>
      </c>
      <c r="B268" t="s">
        <v>602</v>
      </c>
      <c r="C268" t="s">
        <v>603</v>
      </c>
      <c r="D268">
        <v>55</v>
      </c>
      <c r="E268" s="1">
        <v>25848</v>
      </c>
      <c r="F268" t="s">
        <v>59</v>
      </c>
      <c r="G268" t="s">
        <v>60</v>
      </c>
      <c r="I268">
        <v>5000</v>
      </c>
      <c r="J268" t="s">
        <v>38</v>
      </c>
      <c r="K268">
        <v>8</v>
      </c>
      <c r="M268" t="s">
        <v>38</v>
      </c>
      <c r="N268">
        <v>11000</v>
      </c>
    </row>
    <row r="269" spans="1:14">
      <c r="A269" t="s">
        <v>13</v>
      </c>
      <c r="B269" t="s">
        <v>557</v>
      </c>
      <c r="C269" t="s">
        <v>604</v>
      </c>
      <c r="D269">
        <v>67</v>
      </c>
      <c r="E269" s="1">
        <v>21573</v>
      </c>
      <c r="F269" t="s">
        <v>183</v>
      </c>
      <c r="G269" t="s">
        <v>184</v>
      </c>
      <c r="H269">
        <v>6400</v>
      </c>
      <c r="I269">
        <v>1000</v>
      </c>
      <c r="J269" t="s">
        <v>185</v>
      </c>
      <c r="K269">
        <v>27</v>
      </c>
      <c r="M269" t="s">
        <v>185</v>
      </c>
      <c r="N269">
        <v>50000</v>
      </c>
    </row>
    <row r="270" spans="1:14">
      <c r="A270" t="s">
        <v>13</v>
      </c>
      <c r="B270" t="s">
        <v>605</v>
      </c>
      <c r="C270">
        <v>15600</v>
      </c>
      <c r="D270">
        <v>44</v>
      </c>
      <c r="E270">
        <v>29843</v>
      </c>
      <c r="F270" t="s">
        <v>26</v>
      </c>
      <c r="G270" t="s">
        <v>27</v>
      </c>
      <c r="H270">
        <v>11300</v>
      </c>
      <c r="I270">
        <v>55000</v>
      </c>
      <c r="J270" t="s">
        <v>38</v>
      </c>
      <c r="K270">
        <v>38</v>
      </c>
      <c r="M270" t="s">
        <v>38</v>
      </c>
      <c r="N270">
        <v>68500</v>
      </c>
    </row>
    <row r="271" spans="1:14">
      <c r="A271" t="s">
        <v>13</v>
      </c>
      <c r="B271" t="s">
        <v>606</v>
      </c>
      <c r="C271" t="s">
        <v>607</v>
      </c>
      <c r="D271">
        <v>33</v>
      </c>
      <c r="E271">
        <v>34070</v>
      </c>
      <c r="F271" t="s">
        <v>243</v>
      </c>
      <c r="G271" t="s">
        <v>126</v>
      </c>
      <c r="H271">
        <v>29300</v>
      </c>
      <c r="I271">
        <v>69000</v>
      </c>
      <c r="J271" t="s">
        <v>18</v>
      </c>
      <c r="K271">
        <v>0</v>
      </c>
      <c r="M271" t="s">
        <v>18</v>
      </c>
      <c r="N271">
        <v>4500</v>
      </c>
    </row>
    <row r="272" spans="1:14">
      <c r="A272" t="s">
        <v>13</v>
      </c>
      <c r="B272" t="s">
        <v>608</v>
      </c>
      <c r="C272" t="s">
        <v>609</v>
      </c>
      <c r="D272">
        <v>24</v>
      </c>
      <c r="E272">
        <v>37394</v>
      </c>
      <c r="F272" t="s">
        <v>610</v>
      </c>
      <c r="H272">
        <v>14200</v>
      </c>
      <c r="I272">
        <v>71000</v>
      </c>
      <c r="J272" t="s">
        <v>38</v>
      </c>
      <c r="K272">
        <v>10</v>
      </c>
      <c r="M272" t="s">
        <v>38</v>
      </c>
      <c r="N272">
        <v>91500</v>
      </c>
    </row>
    <row r="273" spans="1:14">
      <c r="A273" t="s">
        <v>13</v>
      </c>
      <c r="B273" t="s">
        <v>611</v>
      </c>
      <c r="C273">
        <v>31900</v>
      </c>
      <c r="D273">
        <v>20</v>
      </c>
      <c r="E273">
        <v>38678</v>
      </c>
      <c r="F273" t="s">
        <v>65</v>
      </c>
      <c r="G273" t="s">
        <v>60</v>
      </c>
      <c r="H273" s="15">
        <v>9300</v>
      </c>
      <c r="I273" s="15">
        <v>35000</v>
      </c>
      <c r="J273" t="s">
        <v>38</v>
      </c>
      <c r="K273">
        <v>5</v>
      </c>
      <c r="M273" t="s">
        <v>38</v>
      </c>
      <c r="N273">
        <v>10500</v>
      </c>
    </row>
    <row r="274" spans="1:14">
      <c r="A274" t="s">
        <v>19</v>
      </c>
      <c r="B274" t="s">
        <v>612</v>
      </c>
      <c r="C274" t="s">
        <v>613</v>
      </c>
      <c r="D274">
        <v>20</v>
      </c>
      <c r="E274" s="1">
        <v>38704</v>
      </c>
      <c r="F274" t="s">
        <v>243</v>
      </c>
      <c r="G274" t="s">
        <v>73</v>
      </c>
      <c r="H274">
        <v>12900</v>
      </c>
      <c r="I274" s="14">
        <v>26500</v>
      </c>
      <c r="J274" t="s">
        <v>38</v>
      </c>
      <c r="K274">
        <v>13</v>
      </c>
      <c r="M274" t="s">
        <v>38</v>
      </c>
      <c r="N274">
        <v>2000</v>
      </c>
    </row>
    <row r="275" spans="1:14">
      <c r="A275" t="s">
        <v>13</v>
      </c>
      <c r="B275" t="s">
        <v>614</v>
      </c>
      <c r="C275" t="s">
        <v>615</v>
      </c>
      <c r="E275">
        <v>36337</v>
      </c>
      <c r="F275" t="s">
        <v>108</v>
      </c>
      <c r="G275" t="s">
        <v>80</v>
      </c>
      <c r="H275">
        <v>22500</v>
      </c>
      <c r="I275">
        <v>55500</v>
      </c>
      <c r="J275" t="s">
        <v>38</v>
      </c>
      <c r="K275">
        <v>32</v>
      </c>
      <c r="M275" t="s">
        <v>38</v>
      </c>
      <c r="N275">
        <v>91500</v>
      </c>
    </row>
    <row r="276" spans="1:14">
      <c r="A276" t="s">
        <v>13</v>
      </c>
      <c r="B276" t="s">
        <v>616</v>
      </c>
      <c r="C276">
        <v>29500</v>
      </c>
      <c r="D276">
        <v>68</v>
      </c>
      <c r="E276" s="1">
        <v>21079</v>
      </c>
      <c r="F276" t="s">
        <v>183</v>
      </c>
      <c r="G276" t="s">
        <v>188</v>
      </c>
      <c r="H276" t="s">
        <v>617</v>
      </c>
      <c r="I276">
        <v>64500</v>
      </c>
      <c r="J276" t="s">
        <v>18</v>
      </c>
      <c r="K276">
        <v>32</v>
      </c>
      <c r="M276" t="s">
        <v>18</v>
      </c>
      <c r="N276">
        <v>35500</v>
      </c>
    </row>
    <row r="277" spans="1:14">
      <c r="A277" t="s">
        <v>13</v>
      </c>
      <c r="B277" t="s">
        <v>466</v>
      </c>
      <c r="C277" t="s">
        <v>618</v>
      </c>
      <c r="D277">
        <v>53</v>
      </c>
      <c r="E277" s="1">
        <v>26558</v>
      </c>
      <c r="F277" t="s">
        <v>26</v>
      </c>
      <c r="G277" t="s">
        <v>103</v>
      </c>
      <c r="H277">
        <v>15500</v>
      </c>
      <c r="J277" t="s">
        <v>38</v>
      </c>
      <c r="K277">
        <v>16</v>
      </c>
      <c r="M277" t="s">
        <v>38</v>
      </c>
      <c r="N277">
        <v>41000</v>
      </c>
    </row>
    <row r="278" spans="1:14">
      <c r="A278" t="s">
        <v>13</v>
      </c>
      <c r="B278" t="s">
        <v>619</v>
      </c>
      <c r="C278" t="s">
        <v>620</v>
      </c>
      <c r="D278">
        <v>62</v>
      </c>
      <c r="F278" t="s">
        <v>111</v>
      </c>
      <c r="G278" t="s">
        <v>87</v>
      </c>
      <c r="H278">
        <v>1900</v>
      </c>
      <c r="I278">
        <v>3500</v>
      </c>
      <c r="J278" t="s">
        <v>38</v>
      </c>
      <c r="K278">
        <v>19</v>
      </c>
      <c r="M278" t="s">
        <v>38</v>
      </c>
      <c r="N278">
        <v>62000</v>
      </c>
    </row>
    <row r="279" spans="1:14">
      <c r="A279" t="s">
        <v>13</v>
      </c>
      <c r="B279" t="s">
        <v>621</v>
      </c>
      <c r="C279" t="s">
        <v>622</v>
      </c>
      <c r="D279">
        <v>61</v>
      </c>
      <c r="E279" s="1">
        <v>23964</v>
      </c>
      <c r="F279" t="s">
        <v>92</v>
      </c>
      <c r="G279" t="s">
        <v>93</v>
      </c>
      <c r="H279">
        <v>7000</v>
      </c>
      <c r="I279">
        <v>1500</v>
      </c>
      <c r="J279" t="s">
        <v>18</v>
      </c>
      <c r="K279">
        <v>32</v>
      </c>
      <c r="M279" t="s">
        <v>18</v>
      </c>
      <c r="N279">
        <v>53000</v>
      </c>
    </row>
    <row r="280" spans="1:14">
      <c r="A280" t="s">
        <v>13</v>
      </c>
      <c r="B280" t="s">
        <v>623</v>
      </c>
      <c r="C280" t="s">
        <v>624</v>
      </c>
      <c r="D280">
        <v>25</v>
      </c>
      <c r="E280">
        <v>37118</v>
      </c>
      <c r="F280" t="s">
        <v>111</v>
      </c>
      <c r="G280" t="s">
        <v>87</v>
      </c>
      <c r="H280" t="s">
        <v>625</v>
      </c>
      <c r="I280">
        <v>1500</v>
      </c>
      <c r="J280">
        <v>1</v>
      </c>
      <c r="K280">
        <v>33</v>
      </c>
      <c r="M280">
        <v>1</v>
      </c>
      <c r="N280">
        <v>14000</v>
      </c>
    </row>
    <row r="281" spans="1:14">
      <c r="A281" t="s">
        <v>198</v>
      </c>
      <c r="B281" t="s">
        <v>626</v>
      </c>
      <c r="C281" t="s">
        <v>627</v>
      </c>
      <c r="D281">
        <v>52</v>
      </c>
      <c r="E281">
        <v>27088</v>
      </c>
      <c r="F281" t="s">
        <v>21</v>
      </c>
      <c r="G281" t="s">
        <v>244</v>
      </c>
      <c r="H281">
        <v>24900</v>
      </c>
      <c r="I281">
        <v>0</v>
      </c>
      <c r="J281" t="s">
        <v>38</v>
      </c>
      <c r="K281" t="s">
        <v>299</v>
      </c>
      <c r="M281" t="s">
        <v>38</v>
      </c>
      <c r="N281">
        <v>16000</v>
      </c>
    </row>
    <row r="282" spans="1:14">
      <c r="A282" t="s">
        <v>19</v>
      </c>
      <c r="B282" t="s">
        <v>628</v>
      </c>
      <c r="C282" t="s">
        <v>629</v>
      </c>
      <c r="D282">
        <v>33</v>
      </c>
      <c r="E282">
        <v>33989</v>
      </c>
      <c r="F282" t="s">
        <v>163</v>
      </c>
      <c r="G282" t="s">
        <v>103</v>
      </c>
      <c r="H282">
        <v>23400</v>
      </c>
      <c r="I282">
        <v>59000</v>
      </c>
      <c r="J282" t="s">
        <v>120</v>
      </c>
      <c r="K282">
        <v>35</v>
      </c>
      <c r="M282" t="s">
        <v>120</v>
      </c>
      <c r="N282">
        <v>39000</v>
      </c>
    </row>
    <row r="283" spans="1:14">
      <c r="A283" t="s">
        <v>19</v>
      </c>
      <c r="B283" t="s">
        <v>630</v>
      </c>
      <c r="C283" t="s">
        <v>631</v>
      </c>
      <c r="D283">
        <v>48</v>
      </c>
      <c r="E283">
        <v>28737</v>
      </c>
      <c r="F283" t="s">
        <v>163</v>
      </c>
      <c r="G283" t="s">
        <v>27</v>
      </c>
      <c r="H283">
        <v>12400</v>
      </c>
      <c r="I283">
        <v>0</v>
      </c>
      <c r="J283" t="s">
        <v>38</v>
      </c>
      <c r="K283">
        <v>25</v>
      </c>
      <c r="M283" t="s">
        <v>38</v>
      </c>
      <c r="N283">
        <v>65500</v>
      </c>
    </row>
    <row r="284" spans="1:14">
      <c r="A284" t="s">
        <v>19</v>
      </c>
      <c r="B284" t="s">
        <v>632</v>
      </c>
      <c r="C284" t="s">
        <v>633</v>
      </c>
      <c r="D284">
        <v>55</v>
      </c>
      <c r="E284" s="1">
        <v>26142</v>
      </c>
      <c r="F284" t="s">
        <v>16</v>
      </c>
      <c r="G284" t="s">
        <v>377</v>
      </c>
      <c r="H284" t="s">
        <v>634</v>
      </c>
      <c r="I284" t="s">
        <v>495</v>
      </c>
      <c r="J284" t="s">
        <v>18</v>
      </c>
      <c r="K284">
        <v>14</v>
      </c>
      <c r="M284" t="s">
        <v>18</v>
      </c>
      <c r="N284">
        <v>27000</v>
      </c>
    </row>
    <row r="285" spans="1:14">
      <c r="A285" t="s">
        <v>13</v>
      </c>
      <c r="B285" t="s">
        <v>635</v>
      </c>
      <c r="C285" t="s">
        <v>636</v>
      </c>
      <c r="D285">
        <v>28</v>
      </c>
      <c r="F285" t="s">
        <v>65</v>
      </c>
      <c r="G285" t="s">
        <v>60</v>
      </c>
      <c r="H285">
        <v>14500</v>
      </c>
      <c r="I285">
        <v>39500</v>
      </c>
      <c r="J285" t="s">
        <v>38</v>
      </c>
      <c r="K285">
        <v>18</v>
      </c>
      <c r="M285" t="s">
        <v>38</v>
      </c>
      <c r="N285">
        <v>32000</v>
      </c>
    </row>
    <row r="286" spans="1:14">
      <c r="A286" t="s">
        <v>13</v>
      </c>
      <c r="B286" t="s">
        <v>637</v>
      </c>
      <c r="C286" t="s">
        <v>638</v>
      </c>
      <c r="D286">
        <v>52</v>
      </c>
      <c r="E286" s="1">
        <v>26921</v>
      </c>
      <c r="F286" t="s">
        <v>92</v>
      </c>
      <c r="G286" t="s">
        <v>80</v>
      </c>
      <c r="H286">
        <v>7300</v>
      </c>
      <c r="I286" t="s">
        <v>639</v>
      </c>
      <c r="J286" t="s">
        <v>38</v>
      </c>
      <c r="K286">
        <v>40</v>
      </c>
      <c r="M286" t="s">
        <v>38</v>
      </c>
      <c r="N286">
        <v>34500</v>
      </c>
    </row>
    <row r="287" spans="1:14">
      <c r="A287" t="s">
        <v>13</v>
      </c>
      <c r="B287" t="s">
        <v>640</v>
      </c>
      <c r="C287" t="s">
        <v>641</v>
      </c>
      <c r="D287">
        <v>63</v>
      </c>
      <c r="E287" s="1">
        <v>23006</v>
      </c>
      <c r="F287" t="s">
        <v>642</v>
      </c>
      <c r="H287">
        <v>11200</v>
      </c>
      <c r="K287">
        <v>41</v>
      </c>
      <c r="N287">
        <v>83500</v>
      </c>
    </row>
    <row r="288" spans="1:14">
      <c r="A288" t="s">
        <v>13</v>
      </c>
      <c r="B288" t="s">
        <v>643</v>
      </c>
      <c r="C288" t="s">
        <v>644</v>
      </c>
      <c r="D288">
        <v>53</v>
      </c>
      <c r="E288" s="1">
        <v>26840</v>
      </c>
      <c r="F288" t="s">
        <v>645</v>
      </c>
      <c r="H288">
        <v>9500</v>
      </c>
      <c r="I288" s="15">
        <v>66500</v>
      </c>
      <c r="J288" t="s">
        <v>18</v>
      </c>
      <c r="K288">
        <v>38</v>
      </c>
      <c r="M288" t="s">
        <v>18</v>
      </c>
      <c r="N288">
        <v>42500</v>
      </c>
    </row>
    <row r="289" spans="1:14">
      <c r="A289" t="s">
        <v>13</v>
      </c>
      <c r="B289" t="s">
        <v>646</v>
      </c>
      <c r="C289" t="s">
        <v>647</v>
      </c>
      <c r="D289">
        <v>71</v>
      </c>
      <c r="E289">
        <v>20275</v>
      </c>
      <c r="F289" t="s">
        <v>41</v>
      </c>
      <c r="G289" t="s">
        <v>46</v>
      </c>
      <c r="H289">
        <v>14200</v>
      </c>
      <c r="I289">
        <v>51000</v>
      </c>
      <c r="J289" t="s">
        <v>38</v>
      </c>
      <c r="K289">
        <v>10</v>
      </c>
      <c r="M289" t="s">
        <v>38</v>
      </c>
      <c r="N289">
        <v>90500</v>
      </c>
    </row>
    <row r="290" spans="1:14">
      <c r="A290" t="s">
        <v>13</v>
      </c>
      <c r="B290" t="s">
        <v>466</v>
      </c>
      <c r="C290" t="s">
        <v>467</v>
      </c>
      <c r="D290">
        <v>37</v>
      </c>
      <c r="E290">
        <v>32414</v>
      </c>
      <c r="F290" t="s">
        <v>468</v>
      </c>
      <c r="H290">
        <v>12800</v>
      </c>
      <c r="I290">
        <v>76500</v>
      </c>
      <c r="J290" t="s">
        <v>38</v>
      </c>
      <c r="K290" t="s">
        <v>407</v>
      </c>
      <c r="M290" t="s">
        <v>38</v>
      </c>
      <c r="N290">
        <v>95000</v>
      </c>
    </row>
    <row r="291" spans="1:14">
      <c r="A291" t="s">
        <v>13</v>
      </c>
      <c r="B291" t="s">
        <v>648</v>
      </c>
      <c r="C291" t="s">
        <v>649</v>
      </c>
      <c r="D291">
        <v>22</v>
      </c>
      <c r="E291">
        <v>37936</v>
      </c>
      <c r="F291" t="s">
        <v>16</v>
      </c>
      <c r="G291" t="s">
        <v>37</v>
      </c>
      <c r="H291" s="15">
        <v>4100</v>
      </c>
      <c r="I291">
        <v>2000</v>
      </c>
      <c r="J291" t="s">
        <v>38</v>
      </c>
      <c r="K291">
        <v>8</v>
      </c>
      <c r="M291" t="s">
        <v>38</v>
      </c>
      <c r="N291">
        <v>4000</v>
      </c>
    </row>
    <row r="292" spans="1:14">
      <c r="A292" t="s">
        <v>13</v>
      </c>
      <c r="B292" t="s">
        <v>650</v>
      </c>
      <c r="C292" t="s">
        <v>651</v>
      </c>
      <c r="D292">
        <v>37</v>
      </c>
      <c r="E292">
        <v>32680</v>
      </c>
      <c r="F292" t="s">
        <v>65</v>
      </c>
      <c r="G292" t="s">
        <v>60</v>
      </c>
      <c r="H292">
        <v>28900</v>
      </c>
      <c r="I292">
        <v>71000</v>
      </c>
      <c r="J292" t="s">
        <v>38</v>
      </c>
      <c r="K292">
        <v>28</v>
      </c>
      <c r="M292" t="s">
        <v>38</v>
      </c>
      <c r="N292">
        <v>36500</v>
      </c>
    </row>
    <row r="293" spans="1:14">
      <c r="A293" t="s">
        <v>13</v>
      </c>
      <c r="B293" t="s">
        <v>652</v>
      </c>
      <c r="C293">
        <v>13200</v>
      </c>
      <c r="D293">
        <v>29</v>
      </c>
      <c r="E293">
        <v>35334</v>
      </c>
      <c r="F293" t="s">
        <v>50</v>
      </c>
      <c r="G293" t="s">
        <v>70</v>
      </c>
      <c r="H293">
        <v>19500</v>
      </c>
      <c r="I293" s="14">
        <v>57000</v>
      </c>
      <c r="J293" t="s">
        <v>38</v>
      </c>
      <c r="K293">
        <v>12</v>
      </c>
      <c r="M293" t="s">
        <v>38</v>
      </c>
      <c r="N293">
        <v>20500</v>
      </c>
    </row>
    <row r="294" spans="1:14">
      <c r="A294" t="s">
        <v>13</v>
      </c>
      <c r="B294" t="s">
        <v>430</v>
      </c>
      <c r="C294" t="s">
        <v>653</v>
      </c>
      <c r="D294">
        <v>51</v>
      </c>
      <c r="E294" s="1">
        <v>27421</v>
      </c>
      <c r="F294" t="s">
        <v>122</v>
      </c>
      <c r="G294" t="s">
        <v>122</v>
      </c>
      <c r="H294">
        <v>26000</v>
      </c>
      <c r="I294">
        <v>47500</v>
      </c>
      <c r="J294" t="s">
        <v>38</v>
      </c>
      <c r="K294">
        <v>45</v>
      </c>
      <c r="M294" t="s">
        <v>38</v>
      </c>
      <c r="N294">
        <v>60500</v>
      </c>
    </row>
    <row r="295" spans="1:14">
      <c r="A295" t="s">
        <v>19</v>
      </c>
      <c r="B295" t="s">
        <v>654</v>
      </c>
      <c r="C295" t="s">
        <v>655</v>
      </c>
      <c r="D295">
        <v>74</v>
      </c>
      <c r="E295" s="1">
        <v>19047</v>
      </c>
      <c r="F295" t="s">
        <v>41</v>
      </c>
      <c r="G295" t="s">
        <v>46</v>
      </c>
      <c r="H295">
        <v>24000</v>
      </c>
      <c r="I295">
        <v>35000</v>
      </c>
      <c r="J295" t="s">
        <v>38</v>
      </c>
      <c r="K295" t="s">
        <v>656</v>
      </c>
      <c r="M295" t="s">
        <v>38</v>
      </c>
      <c r="N295">
        <v>29500</v>
      </c>
    </row>
    <row r="296" spans="1:14">
      <c r="A296" t="s">
        <v>13</v>
      </c>
      <c r="B296" t="s">
        <v>657</v>
      </c>
      <c r="C296" t="s">
        <v>658</v>
      </c>
      <c r="D296">
        <v>19</v>
      </c>
      <c r="E296">
        <v>39016</v>
      </c>
      <c r="F296" t="s">
        <v>50</v>
      </c>
      <c r="G296" t="s">
        <v>205</v>
      </c>
      <c r="H296" s="15">
        <v>14900</v>
      </c>
      <c r="I296">
        <v>17000</v>
      </c>
      <c r="J296" t="s">
        <v>38</v>
      </c>
      <c r="K296">
        <v>20</v>
      </c>
      <c r="M296" t="s">
        <v>38</v>
      </c>
      <c r="N296">
        <v>29500</v>
      </c>
    </row>
    <row r="297" spans="1:14">
      <c r="A297" t="s">
        <v>19</v>
      </c>
      <c r="B297" t="s">
        <v>659</v>
      </c>
      <c r="C297">
        <v>32700</v>
      </c>
      <c r="D297">
        <v>57</v>
      </c>
      <c r="E297" s="1">
        <v>25369</v>
      </c>
      <c r="F297" t="s">
        <v>65</v>
      </c>
      <c r="G297" t="s">
        <v>197</v>
      </c>
      <c r="H297">
        <v>28600</v>
      </c>
      <c r="I297" s="14">
        <v>73500</v>
      </c>
      <c r="J297" t="s">
        <v>38</v>
      </c>
      <c r="K297">
        <v>29</v>
      </c>
      <c r="M297" t="s">
        <v>38</v>
      </c>
      <c r="N297">
        <v>93500</v>
      </c>
    </row>
    <row r="298" spans="1:14">
      <c r="A298" t="s">
        <v>19</v>
      </c>
      <c r="B298" t="s">
        <v>660</v>
      </c>
      <c r="C298">
        <v>19200</v>
      </c>
      <c r="D298">
        <v>50</v>
      </c>
      <c r="E298">
        <v>27833</v>
      </c>
      <c r="F298" t="s">
        <v>481</v>
      </c>
      <c r="H298">
        <v>16200</v>
      </c>
      <c r="I298" s="14">
        <v>25000</v>
      </c>
      <c r="J298" t="s">
        <v>185</v>
      </c>
      <c r="K298">
        <v>26</v>
      </c>
      <c r="M298" t="s">
        <v>185</v>
      </c>
      <c r="N298">
        <v>65000</v>
      </c>
    </row>
    <row r="299" spans="1:14">
      <c r="A299" t="s">
        <v>13</v>
      </c>
      <c r="B299" t="s">
        <v>382</v>
      </c>
      <c r="C299">
        <v>28500</v>
      </c>
      <c r="D299" t="s">
        <v>661</v>
      </c>
      <c r="E299">
        <v>31115</v>
      </c>
      <c r="F299" t="s">
        <v>79</v>
      </c>
      <c r="G299" t="s">
        <v>80</v>
      </c>
      <c r="H299">
        <v>23100</v>
      </c>
      <c r="I299">
        <v>36000</v>
      </c>
      <c r="J299" t="s">
        <v>38</v>
      </c>
      <c r="K299">
        <v>19</v>
      </c>
      <c r="M299" t="s">
        <v>38</v>
      </c>
      <c r="N299">
        <v>37500</v>
      </c>
    </row>
    <row r="300" spans="1:14">
      <c r="A300" t="s">
        <v>13</v>
      </c>
      <c r="B300" t="s">
        <v>662</v>
      </c>
      <c r="C300">
        <v>13700</v>
      </c>
      <c r="D300">
        <v>73</v>
      </c>
      <c r="E300" s="1">
        <v>19323</v>
      </c>
      <c r="F300" t="s">
        <v>183</v>
      </c>
      <c r="G300" t="s">
        <v>397</v>
      </c>
      <c r="H300">
        <v>18100</v>
      </c>
      <c r="I300">
        <v>0</v>
      </c>
      <c r="J300" t="s">
        <v>38</v>
      </c>
      <c r="K300">
        <v>36</v>
      </c>
      <c r="M300" t="s">
        <v>38</v>
      </c>
      <c r="N300">
        <v>89000</v>
      </c>
    </row>
    <row r="301" spans="1:14">
      <c r="A301" t="s">
        <v>112</v>
      </c>
      <c r="B301" t="s">
        <v>663</v>
      </c>
      <c r="C301">
        <v>33100</v>
      </c>
      <c r="E301">
        <v>36759</v>
      </c>
      <c r="F301" t="s">
        <v>122</v>
      </c>
      <c r="G301" t="s">
        <v>122</v>
      </c>
      <c r="H301">
        <v>23200</v>
      </c>
      <c r="I301">
        <v>54500</v>
      </c>
      <c r="J301">
        <v>1</v>
      </c>
      <c r="K301">
        <v>26</v>
      </c>
      <c r="M301">
        <v>1</v>
      </c>
      <c r="N301">
        <v>75000</v>
      </c>
    </row>
    <row r="302" spans="1:14">
      <c r="A302" t="s">
        <v>13</v>
      </c>
      <c r="B302" t="s">
        <v>664</v>
      </c>
      <c r="C302" t="s">
        <v>665</v>
      </c>
      <c r="D302">
        <v>25</v>
      </c>
      <c r="E302" s="1">
        <v>36792</v>
      </c>
      <c r="F302" t="s">
        <v>16</v>
      </c>
      <c r="G302" t="s">
        <v>17</v>
      </c>
      <c r="H302">
        <v>22100</v>
      </c>
      <c r="I302">
        <v>30500</v>
      </c>
      <c r="J302" t="s">
        <v>38</v>
      </c>
      <c r="K302" t="s">
        <v>209</v>
      </c>
      <c r="M302" t="s">
        <v>38</v>
      </c>
      <c r="N302">
        <v>48000</v>
      </c>
    </row>
    <row r="303" spans="1:14">
      <c r="A303" t="s">
        <v>43</v>
      </c>
      <c r="B303" t="s">
        <v>666</v>
      </c>
      <c r="C303" t="s">
        <v>667</v>
      </c>
      <c r="D303">
        <v>36</v>
      </c>
      <c r="E303">
        <v>33117</v>
      </c>
      <c r="F303" t="s">
        <v>183</v>
      </c>
      <c r="G303" t="s">
        <v>397</v>
      </c>
      <c r="H303">
        <v>11600</v>
      </c>
      <c r="I303">
        <v>78500</v>
      </c>
      <c r="J303" t="s">
        <v>38</v>
      </c>
      <c r="K303">
        <v>1</v>
      </c>
      <c r="M303" t="s">
        <v>38</v>
      </c>
      <c r="N303">
        <v>42000</v>
      </c>
    </row>
    <row r="304" spans="1:14">
      <c r="A304" t="s">
        <v>19</v>
      </c>
      <c r="B304" t="s">
        <v>668</v>
      </c>
      <c r="C304">
        <v>16600</v>
      </c>
      <c r="D304">
        <v>35</v>
      </c>
      <c r="E304">
        <v>33417</v>
      </c>
      <c r="F304" t="s">
        <v>111</v>
      </c>
      <c r="G304" t="s">
        <v>156</v>
      </c>
      <c r="H304" s="14">
        <v>12400</v>
      </c>
      <c r="I304">
        <v>0</v>
      </c>
      <c r="J304" t="s">
        <v>38</v>
      </c>
      <c r="K304">
        <v>3</v>
      </c>
      <c r="M304" t="s">
        <v>38</v>
      </c>
      <c r="N304">
        <v>83500</v>
      </c>
    </row>
    <row r="305" spans="1:14">
      <c r="A305" t="s">
        <v>13</v>
      </c>
      <c r="B305" t="s">
        <v>669</v>
      </c>
      <c r="C305" t="s">
        <v>670</v>
      </c>
      <c r="D305">
        <v>64</v>
      </c>
      <c r="E305" s="1">
        <v>22845</v>
      </c>
      <c r="F305" t="s">
        <v>100</v>
      </c>
      <c r="G305" t="s">
        <v>115</v>
      </c>
      <c r="H305">
        <v>12700</v>
      </c>
      <c r="I305">
        <v>0</v>
      </c>
      <c r="J305" t="s">
        <v>38</v>
      </c>
      <c r="K305">
        <v>21</v>
      </c>
      <c r="M305" t="s">
        <v>38</v>
      </c>
      <c r="N305">
        <v>50500</v>
      </c>
    </row>
    <row r="306" spans="1:14">
      <c r="A306" t="s">
        <v>13</v>
      </c>
      <c r="B306" t="s">
        <v>671</v>
      </c>
      <c r="C306" t="s">
        <v>672</v>
      </c>
      <c r="D306">
        <v>49</v>
      </c>
      <c r="E306">
        <v>28147</v>
      </c>
      <c r="F306" t="s">
        <v>163</v>
      </c>
      <c r="G306" t="s">
        <v>354</v>
      </c>
      <c r="H306">
        <v>28400</v>
      </c>
      <c r="I306" s="15">
        <v>38500</v>
      </c>
      <c r="J306" t="s">
        <v>129</v>
      </c>
      <c r="K306" t="s">
        <v>601</v>
      </c>
      <c r="M306" t="s">
        <v>129</v>
      </c>
      <c r="N306">
        <v>51000</v>
      </c>
    </row>
    <row r="307" spans="1:14">
      <c r="A307" t="s">
        <v>13</v>
      </c>
      <c r="B307" t="s">
        <v>673</v>
      </c>
      <c r="C307" t="s">
        <v>674</v>
      </c>
      <c r="D307">
        <v>50</v>
      </c>
      <c r="E307" s="1">
        <v>27886</v>
      </c>
      <c r="F307" t="s">
        <v>122</v>
      </c>
      <c r="G307" t="s">
        <v>122</v>
      </c>
      <c r="H307">
        <v>16100</v>
      </c>
      <c r="I307" s="15">
        <v>8000</v>
      </c>
      <c r="J307" t="s">
        <v>18</v>
      </c>
      <c r="K307">
        <v>30</v>
      </c>
      <c r="M307" t="s">
        <v>18</v>
      </c>
      <c r="N307">
        <v>27000</v>
      </c>
    </row>
    <row r="308" spans="1:14">
      <c r="B308" t="s">
        <v>675</v>
      </c>
      <c r="C308" t="s">
        <v>676</v>
      </c>
      <c r="E308" s="1">
        <v>33188</v>
      </c>
      <c r="F308" t="s">
        <v>65</v>
      </c>
      <c r="G308" t="s">
        <v>60</v>
      </c>
      <c r="H308">
        <v>29900</v>
      </c>
      <c r="I308" s="14">
        <v>64500</v>
      </c>
      <c r="J308" t="s">
        <v>38</v>
      </c>
      <c r="K308">
        <v>34</v>
      </c>
      <c r="M308" t="s">
        <v>38</v>
      </c>
      <c r="N308">
        <v>48500</v>
      </c>
    </row>
    <row r="309" spans="1:14">
      <c r="A309" t="s">
        <v>13</v>
      </c>
      <c r="B309" t="s">
        <v>677</v>
      </c>
      <c r="C309" t="s">
        <v>678</v>
      </c>
      <c r="D309">
        <v>39</v>
      </c>
      <c r="E309" s="1">
        <v>31968</v>
      </c>
      <c r="F309" t="s">
        <v>645</v>
      </c>
      <c r="H309">
        <v>8000</v>
      </c>
      <c r="I309" s="15">
        <v>69000</v>
      </c>
      <c r="J309" t="s">
        <v>38</v>
      </c>
      <c r="K309">
        <v>15</v>
      </c>
      <c r="M309" t="s">
        <v>38</v>
      </c>
      <c r="N309">
        <v>39500</v>
      </c>
    </row>
    <row r="310" spans="1:14">
      <c r="A310" t="s">
        <v>43</v>
      </c>
      <c r="B310" t="s">
        <v>679</v>
      </c>
      <c r="C310" t="s">
        <v>680</v>
      </c>
      <c r="D310">
        <v>19</v>
      </c>
      <c r="E310" s="1">
        <v>39003</v>
      </c>
      <c r="F310" t="s">
        <v>92</v>
      </c>
      <c r="G310" t="s">
        <v>80</v>
      </c>
      <c r="H310" t="s">
        <v>681</v>
      </c>
      <c r="I310" s="15">
        <v>29500</v>
      </c>
      <c r="J310" t="s">
        <v>18</v>
      </c>
      <c r="K310">
        <v>13</v>
      </c>
      <c r="M310" t="s">
        <v>18</v>
      </c>
      <c r="N310">
        <v>5000</v>
      </c>
    </row>
    <row r="311" spans="1:14">
      <c r="A311" t="s">
        <v>19</v>
      </c>
      <c r="B311" t="s">
        <v>390</v>
      </c>
      <c r="C311" t="s">
        <v>391</v>
      </c>
      <c r="D311">
        <v>63</v>
      </c>
      <c r="E311" s="1">
        <v>22924</v>
      </c>
      <c r="F311" t="s">
        <v>65</v>
      </c>
      <c r="G311" t="s">
        <v>197</v>
      </c>
      <c r="H311">
        <v>29000</v>
      </c>
      <c r="I311" s="14">
        <v>36500</v>
      </c>
      <c r="J311" t="s">
        <v>38</v>
      </c>
      <c r="K311">
        <v>38</v>
      </c>
      <c r="M311" t="s">
        <v>38</v>
      </c>
      <c r="N311">
        <v>68000</v>
      </c>
    </row>
    <row r="312" spans="1:14">
      <c r="A312" t="s">
        <v>13</v>
      </c>
      <c r="B312" t="s">
        <v>682</v>
      </c>
      <c r="C312">
        <v>17900</v>
      </c>
      <c r="D312">
        <v>44</v>
      </c>
      <c r="E312" s="1">
        <v>29991</v>
      </c>
      <c r="F312" t="s">
        <v>163</v>
      </c>
      <c r="H312">
        <v>6700</v>
      </c>
      <c r="I312">
        <v>16500</v>
      </c>
      <c r="J312" t="s">
        <v>18</v>
      </c>
      <c r="K312">
        <v>38</v>
      </c>
      <c r="M312" t="s">
        <v>18</v>
      </c>
      <c r="N312">
        <v>15500</v>
      </c>
    </row>
    <row r="313" spans="1:14">
      <c r="A313" t="s">
        <v>43</v>
      </c>
      <c r="B313" t="s">
        <v>626</v>
      </c>
      <c r="C313" t="s">
        <v>683</v>
      </c>
      <c r="D313">
        <v>26</v>
      </c>
      <c r="E313">
        <v>36671</v>
      </c>
      <c r="F313" t="s">
        <v>21</v>
      </c>
      <c r="G313" t="s">
        <v>126</v>
      </c>
      <c r="H313">
        <v>25000</v>
      </c>
      <c r="I313">
        <v>1000</v>
      </c>
      <c r="J313" t="s">
        <v>38</v>
      </c>
      <c r="K313">
        <v>16</v>
      </c>
      <c r="M313" t="s">
        <v>38</v>
      </c>
      <c r="N313">
        <v>10500</v>
      </c>
    </row>
    <row r="314" spans="1:14">
      <c r="A314" t="s">
        <v>13</v>
      </c>
      <c r="B314" t="s">
        <v>684</v>
      </c>
      <c r="C314">
        <v>25200</v>
      </c>
      <c r="D314">
        <v>44</v>
      </c>
      <c r="E314" s="1">
        <v>30081</v>
      </c>
      <c r="F314" t="s">
        <v>65</v>
      </c>
      <c r="G314" t="s">
        <v>60</v>
      </c>
      <c r="H314">
        <v>9600</v>
      </c>
      <c r="I314" s="15">
        <v>66000</v>
      </c>
      <c r="K314">
        <v>11</v>
      </c>
      <c r="N314">
        <v>4500</v>
      </c>
    </row>
    <row r="315" spans="1:14">
      <c r="A315" t="s">
        <v>13</v>
      </c>
      <c r="B315" t="s">
        <v>685</v>
      </c>
      <c r="C315">
        <v>29900</v>
      </c>
      <c r="D315" t="s">
        <v>203</v>
      </c>
      <c r="F315" t="s">
        <v>79</v>
      </c>
      <c r="G315" t="s">
        <v>80</v>
      </c>
      <c r="H315">
        <v>21300</v>
      </c>
      <c r="I315">
        <v>60500</v>
      </c>
      <c r="K315">
        <v>15</v>
      </c>
      <c r="N315">
        <v>74500</v>
      </c>
    </row>
    <row r="316" spans="1:14">
      <c r="A316" t="s">
        <v>13</v>
      </c>
      <c r="B316" t="s">
        <v>686</v>
      </c>
      <c r="C316" t="s">
        <v>687</v>
      </c>
      <c r="D316">
        <v>69</v>
      </c>
      <c r="E316">
        <v>21054</v>
      </c>
      <c r="F316" t="s">
        <v>111</v>
      </c>
      <c r="G316" t="s">
        <v>87</v>
      </c>
      <c r="H316" s="15">
        <v>23800</v>
      </c>
      <c r="I316" t="s">
        <v>29</v>
      </c>
      <c r="K316">
        <v>26</v>
      </c>
      <c r="N316">
        <v>89000</v>
      </c>
    </row>
    <row r="317" spans="1:14">
      <c r="A317" t="s">
        <v>13</v>
      </c>
      <c r="B317" t="s">
        <v>688</v>
      </c>
      <c r="C317" t="s">
        <v>689</v>
      </c>
      <c r="D317">
        <v>67</v>
      </c>
      <c r="E317">
        <v>21522</v>
      </c>
      <c r="F317" t="s">
        <v>243</v>
      </c>
      <c r="G317" t="s">
        <v>244</v>
      </c>
      <c r="H317">
        <v>11300</v>
      </c>
      <c r="I317">
        <v>49500</v>
      </c>
      <c r="J317" t="s">
        <v>38</v>
      </c>
      <c r="K317">
        <v>12</v>
      </c>
      <c r="M317" t="s">
        <v>38</v>
      </c>
      <c r="N317">
        <v>34500</v>
      </c>
    </row>
    <row r="318" spans="1:14">
      <c r="A318" t="s">
        <v>13</v>
      </c>
      <c r="B318" t="s">
        <v>690</v>
      </c>
      <c r="C318" t="s">
        <v>691</v>
      </c>
      <c r="D318" t="s">
        <v>692</v>
      </c>
      <c r="E318" s="1">
        <v>27378</v>
      </c>
      <c r="F318" t="s">
        <v>122</v>
      </c>
      <c r="G318" t="s">
        <v>122</v>
      </c>
      <c r="H318" s="14">
        <v>11600</v>
      </c>
      <c r="I318">
        <v>41000</v>
      </c>
      <c r="J318" t="s">
        <v>38</v>
      </c>
      <c r="K318" t="s">
        <v>693</v>
      </c>
      <c r="M318" t="s">
        <v>38</v>
      </c>
      <c r="N318">
        <v>67000</v>
      </c>
    </row>
    <row r="319" spans="1:14">
      <c r="A319" t="s">
        <v>13</v>
      </c>
      <c r="B319" t="s">
        <v>694</v>
      </c>
      <c r="C319" t="s">
        <v>695</v>
      </c>
      <c r="D319">
        <v>49</v>
      </c>
      <c r="E319" s="1">
        <v>28067</v>
      </c>
      <c r="F319" t="s">
        <v>50</v>
      </c>
      <c r="G319" t="s">
        <v>70</v>
      </c>
      <c r="H319">
        <v>29800</v>
      </c>
      <c r="I319" s="15">
        <v>54500</v>
      </c>
      <c r="J319" t="s">
        <v>38</v>
      </c>
      <c r="K319">
        <v>34</v>
      </c>
      <c r="M319" t="s">
        <v>38</v>
      </c>
      <c r="N319">
        <v>72000</v>
      </c>
    </row>
    <row r="320" spans="1:14">
      <c r="A320" t="s">
        <v>13</v>
      </c>
      <c r="B320" t="s">
        <v>366</v>
      </c>
      <c r="C320" t="s">
        <v>696</v>
      </c>
      <c r="D320">
        <v>20</v>
      </c>
      <c r="E320" s="1">
        <v>38957</v>
      </c>
      <c r="F320" t="s">
        <v>100</v>
      </c>
      <c r="G320" t="s">
        <v>80</v>
      </c>
      <c r="H320">
        <v>18200</v>
      </c>
      <c r="J320" t="s">
        <v>38</v>
      </c>
      <c r="K320">
        <v>21</v>
      </c>
      <c r="M320" t="s">
        <v>38</v>
      </c>
      <c r="N320">
        <v>61500</v>
      </c>
    </row>
    <row r="321" spans="1:14">
      <c r="A321" t="s">
        <v>13</v>
      </c>
      <c r="B321" t="s">
        <v>560</v>
      </c>
      <c r="C321">
        <v>19300</v>
      </c>
      <c r="D321">
        <v>74</v>
      </c>
      <c r="E321" s="1">
        <v>19131</v>
      </c>
      <c r="F321" t="s">
        <v>163</v>
      </c>
      <c r="G321" t="s">
        <v>272</v>
      </c>
      <c r="H321">
        <v>20700</v>
      </c>
      <c r="I321" s="14">
        <v>17500</v>
      </c>
      <c r="J321" t="s">
        <v>38</v>
      </c>
      <c r="K321">
        <v>35</v>
      </c>
      <c r="M321" t="s">
        <v>38</v>
      </c>
      <c r="N321">
        <v>68500</v>
      </c>
    </row>
    <row r="322" spans="1:14">
      <c r="A322" t="s">
        <v>19</v>
      </c>
      <c r="B322" t="s">
        <v>541</v>
      </c>
      <c r="C322">
        <v>6400</v>
      </c>
      <c r="D322">
        <v>57</v>
      </c>
      <c r="E322">
        <v>25206</v>
      </c>
      <c r="F322" t="s">
        <v>76</v>
      </c>
      <c r="G322" t="s">
        <v>294</v>
      </c>
      <c r="H322">
        <v>3400</v>
      </c>
      <c r="I322">
        <v>23500</v>
      </c>
      <c r="J322" t="s">
        <v>38</v>
      </c>
      <c r="K322">
        <v>20</v>
      </c>
      <c r="M322" t="s">
        <v>38</v>
      </c>
      <c r="N322">
        <v>50500</v>
      </c>
    </row>
    <row r="323" spans="1:14">
      <c r="A323" t="s">
        <v>13</v>
      </c>
      <c r="B323" t="s">
        <v>344</v>
      </c>
      <c r="C323" t="s">
        <v>345</v>
      </c>
      <c r="D323">
        <v>56</v>
      </c>
      <c r="E323">
        <v>25671</v>
      </c>
      <c r="F323" t="s">
        <v>107</v>
      </c>
      <c r="G323" t="s">
        <v>77</v>
      </c>
      <c r="H323">
        <v>28300</v>
      </c>
      <c r="I323">
        <v>56000</v>
      </c>
      <c r="J323" t="s">
        <v>38</v>
      </c>
      <c r="K323">
        <v>6</v>
      </c>
      <c r="M323" t="s">
        <v>38</v>
      </c>
      <c r="N323">
        <v>84500</v>
      </c>
    </row>
    <row r="324" spans="1:14">
      <c r="A324" t="s">
        <v>13</v>
      </c>
      <c r="B324" t="s">
        <v>697</v>
      </c>
      <c r="C324" t="s">
        <v>698</v>
      </c>
      <c r="D324">
        <v>68</v>
      </c>
      <c r="E324" s="1">
        <v>21145</v>
      </c>
      <c r="F324" t="s">
        <v>21</v>
      </c>
      <c r="G324" t="s">
        <v>22</v>
      </c>
      <c r="H324">
        <v>24500</v>
      </c>
      <c r="I324">
        <v>16500</v>
      </c>
      <c r="J324" t="s">
        <v>38</v>
      </c>
      <c r="K324">
        <v>22</v>
      </c>
      <c r="M324" t="s">
        <v>38</v>
      </c>
      <c r="N324">
        <v>34500</v>
      </c>
    </row>
    <row r="325" spans="1:14">
      <c r="A325" t="s">
        <v>19</v>
      </c>
      <c r="B325" t="s">
        <v>699</v>
      </c>
      <c r="C325" t="s">
        <v>700</v>
      </c>
      <c r="D325">
        <v>73</v>
      </c>
      <c r="F325" t="s">
        <v>79</v>
      </c>
      <c r="G325" t="s">
        <v>80</v>
      </c>
      <c r="H325" t="s">
        <v>701</v>
      </c>
      <c r="I325">
        <v>47000</v>
      </c>
      <c r="J325" t="s">
        <v>38</v>
      </c>
      <c r="K325">
        <v>19</v>
      </c>
      <c r="M325" t="s">
        <v>38</v>
      </c>
      <c r="N325">
        <v>20500</v>
      </c>
    </row>
    <row r="326" spans="1:14">
      <c r="A326" t="s">
        <v>13</v>
      </c>
      <c r="B326" t="s">
        <v>702</v>
      </c>
      <c r="C326" t="s">
        <v>703</v>
      </c>
      <c r="D326">
        <v>67</v>
      </c>
      <c r="E326" s="1">
        <v>21497</v>
      </c>
      <c r="F326" t="s">
        <v>33</v>
      </c>
      <c r="H326" t="s">
        <v>704</v>
      </c>
      <c r="I326" s="14">
        <v>73500</v>
      </c>
      <c r="J326" t="s">
        <v>18</v>
      </c>
      <c r="K326">
        <v>7</v>
      </c>
      <c r="M326" t="s">
        <v>18</v>
      </c>
      <c r="N326">
        <v>24500</v>
      </c>
    </row>
    <row r="327" spans="1:14">
      <c r="A327" t="s">
        <v>13</v>
      </c>
      <c r="B327" t="s">
        <v>705</v>
      </c>
      <c r="C327" t="s">
        <v>706</v>
      </c>
      <c r="D327">
        <v>54</v>
      </c>
      <c r="E327" s="1">
        <v>26230</v>
      </c>
      <c r="F327" t="s">
        <v>100</v>
      </c>
      <c r="G327" t="s">
        <v>93</v>
      </c>
      <c r="H327">
        <v>18700</v>
      </c>
      <c r="I327">
        <v>46000</v>
      </c>
      <c r="J327" t="s">
        <v>18</v>
      </c>
      <c r="K327">
        <v>4</v>
      </c>
      <c r="M327" t="s">
        <v>18</v>
      </c>
      <c r="N327">
        <v>27500</v>
      </c>
    </row>
    <row r="328" spans="1:14">
      <c r="A328" t="s">
        <v>13</v>
      </c>
      <c r="B328" t="s">
        <v>381</v>
      </c>
      <c r="C328">
        <v>36900</v>
      </c>
      <c r="D328">
        <v>61</v>
      </c>
      <c r="E328">
        <v>23928</v>
      </c>
      <c r="F328" t="s">
        <v>243</v>
      </c>
      <c r="G328" t="s">
        <v>22</v>
      </c>
      <c r="H328">
        <v>22900</v>
      </c>
      <c r="I328">
        <v>7500</v>
      </c>
      <c r="J328" t="s">
        <v>38</v>
      </c>
      <c r="K328">
        <v>12</v>
      </c>
      <c r="M328" t="s">
        <v>38</v>
      </c>
      <c r="N328">
        <v>33000</v>
      </c>
    </row>
    <row r="329" spans="1:14">
      <c r="A329" t="s">
        <v>13</v>
      </c>
      <c r="B329" t="s">
        <v>702</v>
      </c>
      <c r="C329" t="s">
        <v>707</v>
      </c>
      <c r="D329">
        <v>60</v>
      </c>
      <c r="E329" s="1">
        <v>24054</v>
      </c>
      <c r="F329" t="s">
        <v>16</v>
      </c>
      <c r="G329" t="s">
        <v>37</v>
      </c>
      <c r="H329">
        <v>22600</v>
      </c>
      <c r="I329" t="s">
        <v>708</v>
      </c>
      <c r="J329" t="s">
        <v>38</v>
      </c>
      <c r="K329">
        <v>9</v>
      </c>
      <c r="M329" t="s">
        <v>38</v>
      </c>
      <c r="N329">
        <v>58500</v>
      </c>
    </row>
    <row r="330" spans="1:14">
      <c r="A330" t="s">
        <v>13</v>
      </c>
      <c r="B330" t="s">
        <v>277</v>
      </c>
      <c r="C330">
        <v>36000</v>
      </c>
      <c r="D330">
        <v>26</v>
      </c>
      <c r="E330" s="1">
        <v>36573</v>
      </c>
      <c r="F330" t="s">
        <v>642</v>
      </c>
      <c r="H330">
        <v>4800</v>
      </c>
      <c r="I330" t="s">
        <v>709</v>
      </c>
      <c r="J330" t="s">
        <v>18</v>
      </c>
      <c r="K330">
        <v>6</v>
      </c>
      <c r="M330" t="s">
        <v>18</v>
      </c>
      <c r="N330">
        <v>56500</v>
      </c>
    </row>
    <row r="331" spans="1:14">
      <c r="A331" t="s">
        <v>19</v>
      </c>
      <c r="B331" t="s">
        <v>710</v>
      </c>
      <c r="C331">
        <v>32500</v>
      </c>
      <c r="D331">
        <v>48</v>
      </c>
      <c r="E331">
        <v>28446</v>
      </c>
      <c r="F331" t="s">
        <v>26</v>
      </c>
      <c r="G331" t="s">
        <v>272</v>
      </c>
      <c r="H331">
        <v>6900</v>
      </c>
      <c r="I331">
        <v>52500</v>
      </c>
      <c r="J331" t="s">
        <v>18</v>
      </c>
      <c r="K331">
        <v>0</v>
      </c>
      <c r="M331" t="s">
        <v>18</v>
      </c>
      <c r="N331">
        <v>66000</v>
      </c>
    </row>
    <row r="332" spans="1:14">
      <c r="A332" t="s">
        <v>13</v>
      </c>
      <c r="B332" t="s">
        <v>711</v>
      </c>
      <c r="C332" t="s">
        <v>712</v>
      </c>
      <c r="D332">
        <v>69</v>
      </c>
      <c r="F332" t="s">
        <v>243</v>
      </c>
      <c r="G332" t="s">
        <v>126</v>
      </c>
      <c r="H332">
        <v>11400</v>
      </c>
      <c r="I332">
        <v>0</v>
      </c>
      <c r="J332" t="s">
        <v>120</v>
      </c>
      <c r="K332">
        <v>13</v>
      </c>
      <c r="M332" t="s">
        <v>120</v>
      </c>
      <c r="N332">
        <v>79000</v>
      </c>
    </row>
    <row r="333" spans="1:14">
      <c r="A333" t="s">
        <v>13</v>
      </c>
      <c r="B333" t="s">
        <v>85</v>
      </c>
      <c r="C333">
        <v>22300</v>
      </c>
      <c r="D333">
        <v>25</v>
      </c>
      <c r="E333" s="1">
        <v>36831</v>
      </c>
      <c r="F333" t="s">
        <v>86</v>
      </c>
      <c r="G333" t="s">
        <v>87</v>
      </c>
      <c r="H333" s="15">
        <v>9400</v>
      </c>
      <c r="I333">
        <v>51500</v>
      </c>
      <c r="J333" t="s">
        <v>38</v>
      </c>
      <c r="K333">
        <v>14</v>
      </c>
      <c r="M333" t="s">
        <v>38</v>
      </c>
      <c r="N333">
        <v>74000</v>
      </c>
    </row>
    <row r="334" spans="1:14">
      <c r="A334" t="s">
        <v>13</v>
      </c>
      <c r="B334" t="s">
        <v>713</v>
      </c>
      <c r="C334" t="s">
        <v>714</v>
      </c>
      <c r="D334">
        <v>62</v>
      </c>
      <c r="E334">
        <v>23317</v>
      </c>
      <c r="F334" t="s">
        <v>108</v>
      </c>
      <c r="G334" t="s">
        <v>80</v>
      </c>
      <c r="H334">
        <v>10500</v>
      </c>
      <c r="I334">
        <v>0</v>
      </c>
      <c r="J334" t="s">
        <v>18</v>
      </c>
      <c r="K334" t="s">
        <v>590</v>
      </c>
      <c r="M334" t="s">
        <v>18</v>
      </c>
      <c r="N334">
        <v>54500</v>
      </c>
    </row>
    <row r="335" spans="1:14">
      <c r="A335" t="s">
        <v>13</v>
      </c>
      <c r="B335" t="s">
        <v>715</v>
      </c>
      <c r="C335">
        <v>25700</v>
      </c>
      <c r="D335">
        <v>27</v>
      </c>
      <c r="E335">
        <v>36152</v>
      </c>
      <c r="F335" t="s">
        <v>111</v>
      </c>
      <c r="G335" t="s">
        <v>151</v>
      </c>
      <c r="H335">
        <v>30000</v>
      </c>
      <c r="I335" s="15">
        <v>27000</v>
      </c>
      <c r="J335" t="s">
        <v>30</v>
      </c>
      <c r="K335">
        <v>28</v>
      </c>
      <c r="M335" t="s">
        <v>30</v>
      </c>
      <c r="N335">
        <v>28500</v>
      </c>
    </row>
    <row r="336" spans="1:14">
      <c r="A336" t="s">
        <v>13</v>
      </c>
      <c r="B336" t="s">
        <v>716</v>
      </c>
      <c r="C336" t="s">
        <v>717</v>
      </c>
      <c r="E336" s="1">
        <v>34769</v>
      </c>
      <c r="F336" t="s">
        <v>41</v>
      </c>
      <c r="G336" t="s">
        <v>132</v>
      </c>
      <c r="H336">
        <v>9000</v>
      </c>
      <c r="I336">
        <v>66000</v>
      </c>
      <c r="J336" t="s">
        <v>38</v>
      </c>
      <c r="K336">
        <v>24</v>
      </c>
      <c r="M336" t="s">
        <v>38</v>
      </c>
      <c r="N336">
        <v>72000</v>
      </c>
    </row>
    <row r="337" spans="1:14">
      <c r="A337" t="s">
        <v>19</v>
      </c>
      <c r="B337" t="s">
        <v>208</v>
      </c>
      <c r="C337" t="s">
        <v>718</v>
      </c>
      <c r="D337">
        <v>65</v>
      </c>
      <c r="E337">
        <v>22275</v>
      </c>
      <c r="F337" t="s">
        <v>16</v>
      </c>
      <c r="G337" t="s">
        <v>17</v>
      </c>
      <c r="H337">
        <v>3300</v>
      </c>
      <c r="I337">
        <v>43500</v>
      </c>
      <c r="J337" t="s">
        <v>38</v>
      </c>
      <c r="K337" t="s">
        <v>143</v>
      </c>
      <c r="M337" t="s">
        <v>38</v>
      </c>
      <c r="N337">
        <v>23500</v>
      </c>
    </row>
    <row r="338" spans="1:14">
      <c r="A338" t="s">
        <v>13</v>
      </c>
      <c r="B338" t="s">
        <v>719</v>
      </c>
      <c r="C338" t="s">
        <v>720</v>
      </c>
      <c r="D338">
        <v>29</v>
      </c>
      <c r="E338" s="1">
        <v>35392</v>
      </c>
      <c r="F338" t="s">
        <v>183</v>
      </c>
      <c r="H338" t="s">
        <v>721</v>
      </c>
      <c r="I338">
        <v>19500</v>
      </c>
      <c r="J338" t="s">
        <v>38</v>
      </c>
      <c r="K338">
        <v>30</v>
      </c>
      <c r="M338" t="s">
        <v>38</v>
      </c>
      <c r="N338">
        <v>51000</v>
      </c>
    </row>
    <row r="339" spans="1:14">
      <c r="A339" t="s">
        <v>13</v>
      </c>
      <c r="B339" t="s">
        <v>722</v>
      </c>
      <c r="C339" t="s">
        <v>723</v>
      </c>
      <c r="D339">
        <v>55</v>
      </c>
      <c r="E339">
        <v>25844</v>
      </c>
      <c r="F339" t="s">
        <v>111</v>
      </c>
      <c r="G339" t="s">
        <v>151</v>
      </c>
      <c r="H339" s="15">
        <v>17400</v>
      </c>
      <c r="I339" s="14">
        <v>75500</v>
      </c>
      <c r="J339" t="s">
        <v>38</v>
      </c>
      <c r="K339">
        <v>9</v>
      </c>
      <c r="M339" t="s">
        <v>38</v>
      </c>
      <c r="N339">
        <v>52000</v>
      </c>
    </row>
    <row r="340" spans="1:14">
      <c r="A340" t="s">
        <v>19</v>
      </c>
      <c r="B340" t="s">
        <v>546</v>
      </c>
      <c r="C340">
        <v>34000</v>
      </c>
      <c r="D340">
        <v>38</v>
      </c>
      <c r="E340" s="1">
        <v>32118</v>
      </c>
      <c r="F340" t="s">
        <v>21</v>
      </c>
      <c r="G340" t="s">
        <v>73</v>
      </c>
      <c r="H340" s="15">
        <v>15800</v>
      </c>
      <c r="I340">
        <v>14500</v>
      </c>
      <c r="J340" t="s">
        <v>38</v>
      </c>
      <c r="K340">
        <v>4</v>
      </c>
      <c r="M340" t="s">
        <v>38</v>
      </c>
      <c r="N340">
        <v>21000</v>
      </c>
    </row>
    <row r="341" spans="1:14">
      <c r="A341" t="s">
        <v>13</v>
      </c>
      <c r="B341" t="s">
        <v>724</v>
      </c>
      <c r="C341">
        <v>2200</v>
      </c>
      <c r="D341">
        <v>58</v>
      </c>
      <c r="E341">
        <v>24840</v>
      </c>
      <c r="F341" t="s">
        <v>183</v>
      </c>
      <c r="G341" t="s">
        <v>184</v>
      </c>
      <c r="H341" s="14">
        <v>2800</v>
      </c>
      <c r="I341" s="14">
        <v>35000</v>
      </c>
      <c r="J341" t="s">
        <v>38</v>
      </c>
      <c r="K341">
        <v>36</v>
      </c>
      <c r="M341" t="s">
        <v>38</v>
      </c>
      <c r="N341">
        <v>9000</v>
      </c>
    </row>
    <row r="342" spans="1:14">
      <c r="A342" t="s">
        <v>13</v>
      </c>
      <c r="B342" t="s">
        <v>725</v>
      </c>
      <c r="C342" t="s">
        <v>726</v>
      </c>
      <c r="E342" s="1">
        <v>35600</v>
      </c>
      <c r="F342" t="s">
        <v>107</v>
      </c>
      <c r="G342" t="s">
        <v>77</v>
      </c>
      <c r="H342">
        <v>9600</v>
      </c>
      <c r="I342" s="14">
        <v>41000</v>
      </c>
      <c r="J342" t="s">
        <v>38</v>
      </c>
      <c r="K342">
        <v>27</v>
      </c>
      <c r="M342" t="s">
        <v>38</v>
      </c>
      <c r="N342">
        <v>25000</v>
      </c>
    </row>
    <row r="343" spans="1:14">
      <c r="A343" t="s">
        <v>19</v>
      </c>
      <c r="B343" t="s">
        <v>727</v>
      </c>
      <c r="C343">
        <v>11600</v>
      </c>
      <c r="E343">
        <v>32890</v>
      </c>
      <c r="F343" t="s">
        <v>76</v>
      </c>
      <c r="G343" t="s">
        <v>294</v>
      </c>
      <c r="H343" s="15">
        <v>28100</v>
      </c>
      <c r="I343" s="15">
        <v>36500</v>
      </c>
      <c r="J343" t="s">
        <v>38</v>
      </c>
      <c r="K343">
        <v>13</v>
      </c>
      <c r="M343" t="s">
        <v>38</v>
      </c>
      <c r="N343">
        <v>5000</v>
      </c>
    </row>
    <row r="344" spans="1:14">
      <c r="A344" t="s">
        <v>19</v>
      </c>
      <c r="B344" t="s">
        <v>637</v>
      </c>
      <c r="C344">
        <v>20300</v>
      </c>
      <c r="D344">
        <v>46</v>
      </c>
      <c r="E344" s="1">
        <v>29427</v>
      </c>
      <c r="F344" t="s">
        <v>107</v>
      </c>
      <c r="G344" t="s">
        <v>84</v>
      </c>
      <c r="I344">
        <v>37500</v>
      </c>
      <c r="J344" t="s">
        <v>38</v>
      </c>
      <c r="M344" t="s">
        <v>38</v>
      </c>
      <c r="N344">
        <v>77000</v>
      </c>
    </row>
    <row r="345" spans="1:14">
      <c r="A345" t="s">
        <v>19</v>
      </c>
      <c r="B345" t="s">
        <v>295</v>
      </c>
      <c r="C345" t="s">
        <v>296</v>
      </c>
      <c r="D345">
        <v>30</v>
      </c>
      <c r="E345" s="1">
        <v>35200</v>
      </c>
      <c r="F345" t="s">
        <v>65</v>
      </c>
      <c r="G345" t="s">
        <v>197</v>
      </c>
      <c r="H345">
        <v>26500</v>
      </c>
      <c r="I345">
        <v>14500</v>
      </c>
      <c r="J345">
        <v>0</v>
      </c>
      <c r="K345">
        <v>15</v>
      </c>
      <c r="M345">
        <v>0</v>
      </c>
      <c r="N345">
        <v>39000</v>
      </c>
    </row>
    <row r="346" spans="1:14">
      <c r="A346" t="s">
        <v>13</v>
      </c>
      <c r="B346" t="s">
        <v>728</v>
      </c>
      <c r="C346" t="s">
        <v>729</v>
      </c>
      <c r="D346">
        <v>60</v>
      </c>
      <c r="E346">
        <v>24202</v>
      </c>
      <c r="F346" t="s">
        <v>243</v>
      </c>
      <c r="G346" t="s">
        <v>22</v>
      </c>
      <c r="H346" s="14">
        <v>5500</v>
      </c>
      <c r="I346">
        <v>0</v>
      </c>
      <c r="J346" t="s">
        <v>129</v>
      </c>
      <c r="K346">
        <v>26</v>
      </c>
      <c r="M346" t="s">
        <v>129</v>
      </c>
      <c r="N346">
        <v>52500</v>
      </c>
    </row>
    <row r="347" spans="1:14">
      <c r="A347" t="s">
        <v>13</v>
      </c>
      <c r="B347" t="s">
        <v>730</v>
      </c>
      <c r="C347" t="s">
        <v>731</v>
      </c>
      <c r="D347">
        <v>43</v>
      </c>
      <c r="E347">
        <v>30437</v>
      </c>
      <c r="F347" t="s">
        <v>163</v>
      </c>
      <c r="G347" t="s">
        <v>27</v>
      </c>
      <c r="H347">
        <v>14600</v>
      </c>
      <c r="I347">
        <v>18500</v>
      </c>
      <c r="J347" t="s">
        <v>120</v>
      </c>
      <c r="K347">
        <v>22</v>
      </c>
      <c r="M347" t="s">
        <v>120</v>
      </c>
      <c r="N347">
        <v>16500</v>
      </c>
    </row>
    <row r="348" spans="1:14">
      <c r="A348" t="s">
        <v>112</v>
      </c>
      <c r="B348" t="s">
        <v>663</v>
      </c>
      <c r="C348">
        <v>33100</v>
      </c>
      <c r="E348">
        <v>36759</v>
      </c>
      <c r="F348" t="s">
        <v>122</v>
      </c>
      <c r="G348" t="s">
        <v>122</v>
      </c>
      <c r="H348">
        <v>23200</v>
      </c>
      <c r="I348">
        <v>54500</v>
      </c>
      <c r="J348">
        <v>1</v>
      </c>
      <c r="K348">
        <v>26</v>
      </c>
      <c r="M348">
        <v>1</v>
      </c>
      <c r="N348">
        <v>39500</v>
      </c>
    </row>
    <row r="349" spans="1:14">
      <c r="A349" t="s">
        <v>13</v>
      </c>
      <c r="B349" t="s">
        <v>338</v>
      </c>
      <c r="C349" t="s">
        <v>339</v>
      </c>
      <c r="D349">
        <v>53</v>
      </c>
      <c r="E349" s="1">
        <v>26584</v>
      </c>
      <c r="F349" t="s">
        <v>100</v>
      </c>
      <c r="G349" t="s">
        <v>80</v>
      </c>
      <c r="H349">
        <v>12200</v>
      </c>
      <c r="I349" s="14">
        <v>79500</v>
      </c>
      <c r="J349" t="s">
        <v>129</v>
      </c>
      <c r="K349">
        <v>45</v>
      </c>
      <c r="M349" t="s">
        <v>129</v>
      </c>
      <c r="N349">
        <v>62000</v>
      </c>
    </row>
    <row r="350" spans="1:14">
      <c r="A350" t="s">
        <v>112</v>
      </c>
      <c r="B350" t="s">
        <v>732</v>
      </c>
      <c r="C350" t="s">
        <v>733</v>
      </c>
      <c r="D350">
        <v>19</v>
      </c>
      <c r="E350" s="1">
        <v>39209</v>
      </c>
      <c r="F350" t="s">
        <v>155</v>
      </c>
      <c r="G350" t="s">
        <v>87</v>
      </c>
      <c r="H350" s="14">
        <v>7200</v>
      </c>
      <c r="I350">
        <v>16000</v>
      </c>
      <c r="J350" t="s">
        <v>38</v>
      </c>
      <c r="K350">
        <v>5</v>
      </c>
      <c r="M350" t="s">
        <v>38</v>
      </c>
      <c r="N350">
        <v>52000</v>
      </c>
    </row>
    <row r="351" spans="1:14">
      <c r="A351" t="s">
        <v>19</v>
      </c>
      <c r="B351" t="s">
        <v>734</v>
      </c>
      <c r="C351">
        <v>11700</v>
      </c>
      <c r="D351">
        <v>27</v>
      </c>
      <c r="E351">
        <v>36151</v>
      </c>
      <c r="F351" t="s">
        <v>108</v>
      </c>
      <c r="G351" t="s">
        <v>80</v>
      </c>
      <c r="H351" s="14">
        <v>25900</v>
      </c>
      <c r="I351">
        <v>0</v>
      </c>
      <c r="J351" t="s">
        <v>18</v>
      </c>
      <c r="K351">
        <v>10</v>
      </c>
      <c r="M351" t="s">
        <v>18</v>
      </c>
      <c r="N351">
        <v>5000</v>
      </c>
    </row>
    <row r="352" spans="1:14">
      <c r="A352" t="s">
        <v>13</v>
      </c>
      <c r="B352" t="s">
        <v>735</v>
      </c>
      <c r="C352" t="s">
        <v>736</v>
      </c>
      <c r="D352">
        <v>44</v>
      </c>
      <c r="E352">
        <v>29892</v>
      </c>
      <c r="F352" t="s">
        <v>41</v>
      </c>
      <c r="G352" t="s">
        <v>46</v>
      </c>
      <c r="H352">
        <v>20600</v>
      </c>
      <c r="I352">
        <v>8000</v>
      </c>
      <c r="J352" t="s">
        <v>38</v>
      </c>
      <c r="K352">
        <v>39</v>
      </c>
      <c r="M352" t="s">
        <v>38</v>
      </c>
      <c r="N352">
        <v>36000</v>
      </c>
    </row>
    <row r="353" spans="1:14">
      <c r="A353" t="s">
        <v>13</v>
      </c>
      <c r="B353" t="s">
        <v>737</v>
      </c>
      <c r="C353" t="s">
        <v>738</v>
      </c>
      <c r="D353">
        <v>48</v>
      </c>
      <c r="E353">
        <v>28689</v>
      </c>
      <c r="F353" t="s">
        <v>21</v>
      </c>
      <c r="G353" t="s">
        <v>22</v>
      </c>
      <c r="H353" s="14">
        <v>18700</v>
      </c>
      <c r="I353">
        <v>11000</v>
      </c>
      <c r="J353" t="s">
        <v>38</v>
      </c>
      <c r="K353">
        <v>28</v>
      </c>
      <c r="M353" t="s">
        <v>38</v>
      </c>
      <c r="N353">
        <v>18000</v>
      </c>
    </row>
    <row r="354" spans="1:14">
      <c r="A354" t="s">
        <v>13</v>
      </c>
      <c r="B354" t="s">
        <v>739</v>
      </c>
      <c r="C354">
        <v>8200</v>
      </c>
      <c r="D354">
        <v>20</v>
      </c>
      <c r="E354">
        <v>38894</v>
      </c>
      <c r="F354" t="s">
        <v>92</v>
      </c>
      <c r="G354" t="s">
        <v>115</v>
      </c>
      <c r="H354">
        <v>24900</v>
      </c>
      <c r="I354">
        <v>0</v>
      </c>
      <c r="J354" t="s">
        <v>18</v>
      </c>
      <c r="K354">
        <v>14</v>
      </c>
      <c r="M354" t="s">
        <v>18</v>
      </c>
      <c r="N354">
        <v>49500</v>
      </c>
    </row>
    <row r="355" spans="1:14">
      <c r="A355" t="s">
        <v>19</v>
      </c>
      <c r="B355" t="s">
        <v>740</v>
      </c>
      <c r="C355">
        <v>23000</v>
      </c>
      <c r="D355">
        <v>53</v>
      </c>
      <c r="E355">
        <v>26744</v>
      </c>
      <c r="F355" t="s">
        <v>50</v>
      </c>
      <c r="G355" t="s">
        <v>70</v>
      </c>
      <c r="H355" s="14">
        <v>26400</v>
      </c>
      <c r="I355">
        <v>9500</v>
      </c>
      <c r="J355" t="s">
        <v>30</v>
      </c>
      <c r="K355">
        <v>21</v>
      </c>
      <c r="M355" t="s">
        <v>30</v>
      </c>
      <c r="N355">
        <v>16000</v>
      </c>
    </row>
    <row r="356" spans="1:14">
      <c r="A356" t="s">
        <v>19</v>
      </c>
      <c r="B356" t="s">
        <v>741</v>
      </c>
      <c r="C356" t="s">
        <v>742</v>
      </c>
      <c r="D356">
        <v>31</v>
      </c>
      <c r="E356">
        <v>34824</v>
      </c>
      <c r="F356" t="s">
        <v>243</v>
      </c>
      <c r="G356" t="s">
        <v>22</v>
      </c>
      <c r="H356" s="14">
        <v>29500</v>
      </c>
      <c r="I356">
        <v>5000</v>
      </c>
      <c r="J356" t="s">
        <v>38</v>
      </c>
      <c r="K356">
        <v>22</v>
      </c>
      <c r="M356" t="s">
        <v>38</v>
      </c>
      <c r="N356">
        <v>18000</v>
      </c>
    </row>
    <row r="357" spans="1:14">
      <c r="A357" t="s">
        <v>13</v>
      </c>
      <c r="B357" t="s">
        <v>743</v>
      </c>
      <c r="C357" t="s">
        <v>744</v>
      </c>
      <c r="D357">
        <v>32</v>
      </c>
      <c r="E357">
        <v>34508</v>
      </c>
      <c r="F357" t="s">
        <v>122</v>
      </c>
      <c r="G357" t="s">
        <v>122</v>
      </c>
      <c r="H357">
        <v>9800</v>
      </c>
      <c r="I357">
        <v>0</v>
      </c>
      <c r="J357" t="s">
        <v>38</v>
      </c>
      <c r="K357">
        <v>23</v>
      </c>
      <c r="M357" t="s">
        <v>38</v>
      </c>
      <c r="N357">
        <v>68000</v>
      </c>
    </row>
    <row r="358" spans="1:14">
      <c r="A358" t="s">
        <v>19</v>
      </c>
      <c r="B358" t="s">
        <v>745</v>
      </c>
      <c r="C358" t="s">
        <v>746</v>
      </c>
      <c r="D358">
        <v>51</v>
      </c>
      <c r="E358">
        <v>27590</v>
      </c>
      <c r="F358" t="s">
        <v>155</v>
      </c>
      <c r="G358" t="s">
        <v>87</v>
      </c>
      <c r="H358" t="s">
        <v>747</v>
      </c>
      <c r="I358">
        <v>0</v>
      </c>
      <c r="J358" t="s">
        <v>38</v>
      </c>
      <c r="K358">
        <v>17</v>
      </c>
      <c r="M358" t="s">
        <v>38</v>
      </c>
      <c r="N358">
        <v>55500</v>
      </c>
    </row>
    <row r="359" spans="1:14">
      <c r="B359" t="s">
        <v>748</v>
      </c>
      <c r="C359" t="s">
        <v>749</v>
      </c>
      <c r="D359">
        <v>54</v>
      </c>
      <c r="E359" s="1">
        <v>26403</v>
      </c>
      <c r="F359" t="s">
        <v>155</v>
      </c>
      <c r="G359" t="s">
        <v>87</v>
      </c>
      <c r="H359" t="s">
        <v>750</v>
      </c>
      <c r="I359" t="s">
        <v>355</v>
      </c>
      <c r="J359" t="s">
        <v>129</v>
      </c>
      <c r="K359">
        <v>32</v>
      </c>
      <c r="M359" t="s">
        <v>129</v>
      </c>
      <c r="N359">
        <v>31500</v>
      </c>
    </row>
    <row r="360" spans="1:14">
      <c r="A360" t="s">
        <v>19</v>
      </c>
      <c r="B360" t="s">
        <v>751</v>
      </c>
      <c r="C360" t="s">
        <v>752</v>
      </c>
      <c r="D360">
        <v>66</v>
      </c>
      <c r="E360" s="1">
        <v>22101</v>
      </c>
      <c r="F360" t="s">
        <v>59</v>
      </c>
      <c r="G360" t="s">
        <v>197</v>
      </c>
      <c r="H360">
        <v>16800</v>
      </c>
      <c r="I360">
        <v>79500</v>
      </c>
      <c r="J360" t="s">
        <v>38</v>
      </c>
      <c r="K360">
        <v>36</v>
      </c>
      <c r="M360" t="s">
        <v>38</v>
      </c>
      <c r="N360">
        <v>1500</v>
      </c>
    </row>
    <row r="361" spans="1:14">
      <c r="A361" t="s">
        <v>19</v>
      </c>
      <c r="B361" t="s">
        <v>637</v>
      </c>
      <c r="C361">
        <v>20300</v>
      </c>
      <c r="D361">
        <v>46</v>
      </c>
      <c r="E361" s="1">
        <v>29427</v>
      </c>
      <c r="F361" t="s">
        <v>107</v>
      </c>
      <c r="G361" t="s">
        <v>84</v>
      </c>
      <c r="I361">
        <v>37500</v>
      </c>
      <c r="J361" t="s">
        <v>38</v>
      </c>
      <c r="M361" t="s">
        <v>38</v>
      </c>
      <c r="N361">
        <v>21500</v>
      </c>
    </row>
    <row r="362" spans="1:14">
      <c r="A362" t="s">
        <v>13</v>
      </c>
      <c r="B362" t="s">
        <v>753</v>
      </c>
      <c r="C362" t="s">
        <v>754</v>
      </c>
      <c r="D362">
        <v>22</v>
      </c>
      <c r="E362" s="1">
        <v>38204</v>
      </c>
      <c r="F362" t="s">
        <v>16</v>
      </c>
      <c r="G362" t="s">
        <v>17</v>
      </c>
      <c r="H362">
        <v>10500</v>
      </c>
      <c r="I362" s="15">
        <v>50500</v>
      </c>
      <c r="J362" t="s">
        <v>38</v>
      </c>
      <c r="K362">
        <v>16</v>
      </c>
      <c r="M362" t="s">
        <v>38</v>
      </c>
      <c r="N362">
        <v>41500</v>
      </c>
    </row>
    <row r="363" spans="1:14">
      <c r="A363" t="s">
        <v>13</v>
      </c>
      <c r="B363" t="s">
        <v>755</v>
      </c>
      <c r="C363">
        <v>21400</v>
      </c>
      <c r="D363">
        <v>67</v>
      </c>
      <c r="E363" s="1">
        <v>21689</v>
      </c>
      <c r="F363" t="s">
        <v>59</v>
      </c>
      <c r="G363" t="s">
        <v>60</v>
      </c>
      <c r="H363">
        <v>10700</v>
      </c>
      <c r="I363" s="14">
        <v>9000</v>
      </c>
      <c r="J363" t="s">
        <v>38</v>
      </c>
      <c r="K363">
        <v>37</v>
      </c>
      <c r="M363" t="s">
        <v>38</v>
      </c>
      <c r="N363">
        <v>53000</v>
      </c>
    </row>
    <row r="364" spans="1:14">
      <c r="A364" t="s">
        <v>13</v>
      </c>
      <c r="B364" t="s">
        <v>756</v>
      </c>
      <c r="C364" t="s">
        <v>757</v>
      </c>
      <c r="D364">
        <v>53</v>
      </c>
      <c r="E364" s="1">
        <v>26790</v>
      </c>
      <c r="F364" t="s">
        <v>65</v>
      </c>
      <c r="G364" t="s">
        <v>60</v>
      </c>
      <c r="H364" t="s">
        <v>123</v>
      </c>
      <c r="I364" s="14">
        <v>21500</v>
      </c>
      <c r="J364" t="s">
        <v>18</v>
      </c>
      <c r="K364">
        <v>44</v>
      </c>
      <c r="M364" t="s">
        <v>18</v>
      </c>
      <c r="N364">
        <v>3500</v>
      </c>
    </row>
    <row r="365" spans="1:14">
      <c r="A365" t="s">
        <v>19</v>
      </c>
      <c r="B365" t="s">
        <v>758</v>
      </c>
      <c r="C365">
        <v>3200</v>
      </c>
      <c r="D365">
        <v>31</v>
      </c>
      <c r="E365">
        <v>34746</v>
      </c>
      <c r="F365" t="s">
        <v>65</v>
      </c>
      <c r="G365" t="s">
        <v>197</v>
      </c>
      <c r="H365" s="14">
        <v>18200</v>
      </c>
      <c r="I365">
        <v>78500</v>
      </c>
      <c r="J365" t="s">
        <v>38</v>
      </c>
      <c r="K365">
        <v>9</v>
      </c>
      <c r="M365" t="s">
        <v>38</v>
      </c>
      <c r="N365">
        <v>73000</v>
      </c>
    </row>
    <row r="366" spans="1:14">
      <c r="A366" t="s">
        <v>13</v>
      </c>
      <c r="B366" t="s">
        <v>204</v>
      </c>
      <c r="C366" t="s">
        <v>759</v>
      </c>
      <c r="D366">
        <v>41</v>
      </c>
      <c r="E366">
        <v>31156</v>
      </c>
      <c r="F366" t="s">
        <v>100</v>
      </c>
      <c r="G366" t="s">
        <v>93</v>
      </c>
      <c r="H366" s="14">
        <v>26500</v>
      </c>
      <c r="I366" t="s">
        <v>760</v>
      </c>
      <c r="J366" t="s">
        <v>38</v>
      </c>
      <c r="K366">
        <v>5</v>
      </c>
      <c r="M366" t="s">
        <v>38</v>
      </c>
      <c r="N366">
        <v>75000</v>
      </c>
    </row>
    <row r="367" spans="1:14">
      <c r="A367" t="s">
        <v>19</v>
      </c>
      <c r="B367" t="s">
        <v>761</v>
      </c>
      <c r="C367">
        <v>20600</v>
      </c>
      <c r="D367">
        <v>55</v>
      </c>
      <c r="E367">
        <v>26075</v>
      </c>
      <c r="F367" t="s">
        <v>16</v>
      </c>
      <c r="G367" t="s">
        <v>17</v>
      </c>
      <c r="H367" s="14">
        <v>21100</v>
      </c>
      <c r="I367" s="15">
        <v>67500</v>
      </c>
      <c r="J367" t="s">
        <v>38</v>
      </c>
      <c r="K367">
        <v>15</v>
      </c>
      <c r="M367" t="s">
        <v>38</v>
      </c>
      <c r="N367">
        <v>20000</v>
      </c>
    </row>
    <row r="368" spans="1:14">
      <c r="A368" t="s">
        <v>13</v>
      </c>
      <c r="B368" t="s">
        <v>762</v>
      </c>
      <c r="C368" t="s">
        <v>763</v>
      </c>
      <c r="D368">
        <v>60</v>
      </c>
      <c r="E368">
        <v>24272</v>
      </c>
      <c r="F368" t="s">
        <v>155</v>
      </c>
      <c r="G368" t="s">
        <v>151</v>
      </c>
      <c r="H368">
        <v>17300</v>
      </c>
      <c r="I368" s="14">
        <v>15000</v>
      </c>
      <c r="J368" t="s">
        <v>38</v>
      </c>
      <c r="K368">
        <v>17</v>
      </c>
      <c r="M368" t="s">
        <v>38</v>
      </c>
      <c r="N368">
        <v>69000</v>
      </c>
    </row>
    <row r="369" spans="1:14">
      <c r="A369" t="s">
        <v>13</v>
      </c>
      <c r="B369" t="s">
        <v>764</v>
      </c>
      <c r="C369" t="s">
        <v>765</v>
      </c>
      <c r="D369">
        <v>49</v>
      </c>
      <c r="E369" s="1">
        <v>28136</v>
      </c>
      <c r="F369" t="s">
        <v>111</v>
      </c>
      <c r="G369" t="s">
        <v>156</v>
      </c>
      <c r="H369">
        <v>20300</v>
      </c>
      <c r="I369" s="15">
        <v>12000</v>
      </c>
      <c r="J369" t="s">
        <v>18</v>
      </c>
      <c r="K369">
        <v>27</v>
      </c>
      <c r="M369" t="s">
        <v>18</v>
      </c>
      <c r="N369">
        <v>67500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8E16-1946-4104-AC4C-7835D9C69F89}">
  <dimension ref="A1:N382"/>
  <sheetViews>
    <sheetView tabSelected="1" workbookViewId="0">
      <selection activeCell="E72" sqref="E72"/>
    </sheetView>
  </sheetViews>
  <sheetFormatPr defaultRowHeight="15"/>
  <cols>
    <col min="1" max="1" width="10.42578125" bestFit="1" customWidth="1"/>
    <col min="2" max="2" width="25.28515625" style="11" bestFit="1" customWidth="1"/>
    <col min="3" max="3" width="17.5703125" style="1" bestFit="1" customWidth="1"/>
    <col min="4" max="4" width="9.7109375" bestFit="1" customWidth="1"/>
    <col min="5" max="5" width="22.5703125" bestFit="1" customWidth="1"/>
    <col min="6" max="6" width="37.85546875" style="7" bestFit="1" customWidth="1"/>
    <col min="7" max="7" width="31" bestFit="1" customWidth="1"/>
    <col min="8" max="8" width="20.5703125" style="13" bestFit="1" customWidth="1"/>
    <col min="9" max="9" width="22.28515625" style="7" bestFit="1" customWidth="1"/>
    <col min="10" max="10" width="24.7109375" style="24" customWidth="1"/>
    <col min="11" max="11" width="19.28515625" bestFit="1" customWidth="1"/>
    <col min="12" max="12" width="15.7109375" style="2" bestFit="1" customWidth="1"/>
    <col min="13" max="13" width="24.7109375" style="24" bestFit="1" customWidth="1"/>
    <col min="14" max="14" width="21.28515625" bestFit="1" customWidth="1"/>
  </cols>
  <sheetData>
    <row r="1" spans="1:14" ht="15.75">
      <c r="A1" s="38" t="s">
        <v>766</v>
      </c>
      <c r="B1" s="39"/>
      <c r="C1" s="38"/>
      <c r="D1" s="38"/>
      <c r="E1" s="38"/>
      <c r="F1" s="40"/>
      <c r="G1" s="38"/>
      <c r="H1" s="41"/>
      <c r="I1" s="40"/>
      <c r="J1" s="38"/>
      <c r="K1" s="38"/>
      <c r="L1" s="38"/>
      <c r="M1" s="25"/>
      <c r="N1" s="12"/>
    </row>
    <row r="2" spans="1:14" ht="15.75">
      <c r="A2" s="3" t="s">
        <v>0</v>
      </c>
      <c r="B2" s="3" t="s">
        <v>1</v>
      </c>
      <c r="C2" s="8" t="s">
        <v>2</v>
      </c>
      <c r="D2" s="10" t="s">
        <v>3</v>
      </c>
      <c r="E2" s="5" t="s">
        <v>4</v>
      </c>
      <c r="F2" s="3" t="s">
        <v>5</v>
      </c>
      <c r="G2" s="3" t="s">
        <v>6</v>
      </c>
      <c r="H2" s="32" t="s">
        <v>7</v>
      </c>
      <c r="I2" s="33" t="s">
        <v>8</v>
      </c>
      <c r="J2" s="23" t="s">
        <v>9</v>
      </c>
      <c r="K2" s="3" t="s">
        <v>10</v>
      </c>
      <c r="L2" s="3" t="s">
        <v>11</v>
      </c>
      <c r="M2" s="23" t="s">
        <v>767</v>
      </c>
      <c r="N2" s="4" t="s">
        <v>12</v>
      </c>
    </row>
    <row r="3" spans="1:14" ht="15.75">
      <c r="A3" s="27" t="s">
        <v>13</v>
      </c>
      <c r="B3" s="27" t="str">
        <f ca="1">PROPER(Tabela1[[#This Row],[nome]])</f>
        <v>Asha Tallhart</v>
      </c>
      <c r="C3" s="28" t="s">
        <v>480</v>
      </c>
      <c r="D3" s="3">
        <v>59</v>
      </c>
      <c r="E3" s="5">
        <v>24710</v>
      </c>
      <c r="F3" s="27" t="s">
        <v>76</v>
      </c>
      <c r="G3" s="27" t="s">
        <v>77</v>
      </c>
      <c r="H3" s="6">
        <v>19900</v>
      </c>
      <c r="I3" s="6">
        <v>55000</v>
      </c>
      <c r="J3" s="23" t="s">
        <v>38</v>
      </c>
      <c r="K3" s="3">
        <v>26</v>
      </c>
      <c r="L3" s="27" t="str">
        <f>IF(OR(J3="Sim",M3="Sim",I3/H3&gt;=2,N3/H3&gt;=5),"Alto",IF(OR(I3/H3&gt;=1,N3/H3&gt;=3,K3&gt;=30),"Médio","Baixo"))</f>
        <v>Alto</v>
      </c>
      <c r="M3" s="23" t="s">
        <v>38</v>
      </c>
      <c r="N3" s="29">
        <v>100000</v>
      </c>
    </row>
    <row r="4" spans="1:14" ht="15.75">
      <c r="A4" s="27" t="s">
        <v>13</v>
      </c>
      <c r="B4" s="27" t="str">
        <f ca="1">PROPER(Tabela1[[#This Row],[nome]])</f>
        <v>Tormund  Cerwyn</v>
      </c>
      <c r="C4" s="30" t="s">
        <v>63</v>
      </c>
      <c r="D4" s="3">
        <v>33</v>
      </c>
      <c r="E4" s="5">
        <v>34147</v>
      </c>
      <c r="F4" s="27" t="s">
        <v>59</v>
      </c>
      <c r="G4" s="27" t="s">
        <v>60</v>
      </c>
      <c r="H4" s="6">
        <v>28700</v>
      </c>
      <c r="I4" s="6">
        <v>12500</v>
      </c>
      <c r="J4" s="23" t="s">
        <v>38</v>
      </c>
      <c r="K4" s="3">
        <v>41</v>
      </c>
      <c r="L4" s="27" t="str">
        <f>IF(OR(J4="Sim",M4="Sim",I4/H4&gt;=2,N4/H4&gt;=5),"Alto",IF(OR(I4/H4&gt;=1,N4/H4&gt;=3,K4&gt;=30),"Médio","Baixo"))</f>
        <v>Médio</v>
      </c>
      <c r="M4" s="23" t="s">
        <v>38</v>
      </c>
      <c r="N4" s="29">
        <v>99500</v>
      </c>
    </row>
    <row r="5" spans="1:14" ht="15.75">
      <c r="A5" s="27" t="s">
        <v>13</v>
      </c>
      <c r="B5" s="27" t="str">
        <f ca="1">PROPER(Tabela1[[#This Row],[nome]])</f>
        <v>Aegon Baelish</v>
      </c>
      <c r="C5" s="28" t="s">
        <v>768</v>
      </c>
      <c r="D5" s="3">
        <v>47</v>
      </c>
      <c r="E5" s="5">
        <v>29031</v>
      </c>
      <c r="F5" s="27" t="s">
        <v>59</v>
      </c>
      <c r="G5" s="31" t="s">
        <v>60</v>
      </c>
      <c r="H5" s="6">
        <v>28400</v>
      </c>
      <c r="I5" s="6">
        <v>78000</v>
      </c>
      <c r="J5" s="23" t="s">
        <v>38</v>
      </c>
      <c r="K5" s="3">
        <v>37</v>
      </c>
      <c r="L5" s="27" t="str">
        <f>IF(OR(J5="Sim",M5="Sim",I5/H5&gt;=2,N5/H5&gt;=5),"Alto",IF(OR(I5/H5&gt;=1,N5/H5&gt;=3,K5&gt;=30),"Médio","Baixo"))</f>
        <v>Alto</v>
      </c>
      <c r="M5" s="23" t="s">
        <v>38</v>
      </c>
      <c r="N5" s="29">
        <v>99000</v>
      </c>
    </row>
    <row r="6" spans="1:14" ht="15.75">
      <c r="A6" s="27" t="s">
        <v>13</v>
      </c>
      <c r="B6" s="27" t="str">
        <f ca="1">PROPER(Tabela1[[#This Row],[nome]])</f>
        <v>Thoros Clegane</v>
      </c>
      <c r="C6" s="30" t="s">
        <v>328</v>
      </c>
      <c r="D6" s="3">
        <v>28</v>
      </c>
      <c r="E6" s="5">
        <v>35993</v>
      </c>
      <c r="F6" s="27" t="s">
        <v>41</v>
      </c>
      <c r="G6" s="27" t="s">
        <v>46</v>
      </c>
      <c r="H6" s="6">
        <v>13400</v>
      </c>
      <c r="I6" s="6">
        <v>54000</v>
      </c>
      <c r="J6" s="23" t="s">
        <v>38</v>
      </c>
      <c r="K6" s="3">
        <v>15</v>
      </c>
      <c r="L6" s="27" t="str">
        <f>IF(OR(J6="Sim",M6="Sim",I6/H6&gt;=2,N6/H6&gt;=5),"Alto",IF(OR(I6/H6&gt;=1,N6/H6&gt;=3,K6&gt;=30),"Médio","Baixo"))</f>
        <v>Alto</v>
      </c>
      <c r="M6" s="23" t="s">
        <v>38</v>
      </c>
      <c r="N6" s="29">
        <v>99000</v>
      </c>
    </row>
    <row r="7" spans="1:14" ht="15.75">
      <c r="A7" s="27" t="s">
        <v>19</v>
      </c>
      <c r="B7" s="27" t="str">
        <f ca="1">PROPER(Tabela1[[#This Row],[nome]])</f>
        <v>Jeor Martell</v>
      </c>
      <c r="C7" s="30" t="s">
        <v>446</v>
      </c>
      <c r="D7" s="3">
        <v>58</v>
      </c>
      <c r="E7" s="5">
        <v>24726</v>
      </c>
      <c r="F7" s="27" t="s">
        <v>59</v>
      </c>
      <c r="G7" s="27" t="s">
        <v>60</v>
      </c>
      <c r="H7" s="6">
        <v>20100</v>
      </c>
      <c r="I7" s="6">
        <v>40000</v>
      </c>
      <c r="J7" s="23" t="s">
        <v>38</v>
      </c>
      <c r="K7" s="3">
        <v>16</v>
      </c>
      <c r="L7" s="27" t="str">
        <f>IF(OR(J7="Sim",M7="Sim",I7/H7&gt;=2,N7/H7&gt;=5),"Alto",IF(OR(I7/H7&gt;=1,N7/H7&gt;=3,K7&gt;=30),"Médio","Baixo"))</f>
        <v>Médio</v>
      </c>
      <c r="M7" s="23" t="s">
        <v>38</v>
      </c>
      <c r="N7" s="29">
        <v>98500</v>
      </c>
    </row>
    <row r="8" spans="1:14" ht="15.75">
      <c r="A8" s="27" t="s">
        <v>19</v>
      </c>
      <c r="B8" s="27" t="str">
        <f ca="1">PROPER(Tabela1[[#This Row],[nome]])</f>
        <v>Tormund Greyjoy</v>
      </c>
      <c r="C8" s="30" t="s">
        <v>477</v>
      </c>
      <c r="D8" s="3">
        <v>58</v>
      </c>
      <c r="E8" s="5">
        <v>24872</v>
      </c>
      <c r="F8" s="27" t="s">
        <v>50</v>
      </c>
      <c r="G8" s="27" t="s">
        <v>70</v>
      </c>
      <c r="H8" s="6">
        <v>12500</v>
      </c>
      <c r="I8" s="6">
        <v>44500</v>
      </c>
      <c r="J8" s="23" t="s">
        <v>38</v>
      </c>
      <c r="K8" s="3">
        <v>13</v>
      </c>
      <c r="L8" s="27" t="str">
        <f>IF(OR(J8="Sim",M8="Sim",I8/H8&gt;=2,N8/H8&gt;=5),"Alto",IF(OR(I8/H8&gt;=1,N8/H8&gt;=3,K8&gt;=30),"Médio","Baixo"))</f>
        <v>Alto</v>
      </c>
      <c r="M8" s="23" t="s">
        <v>38</v>
      </c>
      <c r="N8" s="29">
        <v>98500</v>
      </c>
    </row>
    <row r="9" spans="1:14" ht="15.75">
      <c r="A9" s="27" t="s">
        <v>13</v>
      </c>
      <c r="B9" s="27" t="str">
        <f ca="1">PROPER(Tabela1[[#This Row],[nome]])</f>
        <v>Petyr Snow</v>
      </c>
      <c r="C9" s="30" t="s">
        <v>768</v>
      </c>
      <c r="D9" s="3">
        <v>67</v>
      </c>
      <c r="E9" s="5">
        <v>21619</v>
      </c>
      <c r="F9" s="27" t="s">
        <v>21</v>
      </c>
      <c r="G9" s="27" t="s">
        <v>22</v>
      </c>
      <c r="H9" s="6">
        <v>20200</v>
      </c>
      <c r="I9" s="6">
        <v>6500</v>
      </c>
      <c r="J9" s="23" t="s">
        <v>38</v>
      </c>
      <c r="K9" s="3">
        <v>1</v>
      </c>
      <c r="L9" s="27" t="str">
        <f>IF(OR(J9="Sim",M9="Sim",I9/H9&gt;=2,N9/H9&gt;=5),"Alto",IF(OR(I9/H9&gt;=1,N9/H9&gt;=3,K9&gt;=30),"Médio","Baixo"))</f>
        <v>Médio</v>
      </c>
      <c r="M9" s="23" t="s">
        <v>38</v>
      </c>
      <c r="N9" s="29">
        <v>98500</v>
      </c>
    </row>
    <row r="10" spans="1:14" ht="15.75">
      <c r="A10" s="27" t="s">
        <v>13</v>
      </c>
      <c r="B10" s="27" t="str">
        <f ca="1">PROPER(Tabela1[[#This Row],[nome]])</f>
        <v>Grey  Worm  Greyjoy</v>
      </c>
      <c r="C10" s="30" t="s">
        <v>379</v>
      </c>
      <c r="D10" s="3">
        <v>58</v>
      </c>
      <c r="E10" s="5">
        <v>25066</v>
      </c>
      <c r="F10" s="27" t="s">
        <v>111</v>
      </c>
      <c r="G10" s="27" t="s">
        <v>87</v>
      </c>
      <c r="H10" s="6">
        <v>4500</v>
      </c>
      <c r="I10" s="6" t="s">
        <v>768</v>
      </c>
      <c r="J10" s="23" t="s">
        <v>18</v>
      </c>
      <c r="K10" s="3">
        <v>31</v>
      </c>
      <c r="L10" s="27" t="s">
        <v>769</v>
      </c>
      <c r="M10" s="23" t="s">
        <v>18</v>
      </c>
      <c r="N10" s="29">
        <v>97500</v>
      </c>
    </row>
    <row r="11" spans="1:14" ht="15.75">
      <c r="A11" s="27" t="s">
        <v>13</v>
      </c>
      <c r="B11" s="27" t="str">
        <f ca="1">PROPER(Tabela1[[#This Row],[nome]])</f>
        <v>Tormund Tyrell</v>
      </c>
      <c r="C11" s="30" t="s">
        <v>568</v>
      </c>
      <c r="D11" s="3">
        <v>34</v>
      </c>
      <c r="E11" s="5">
        <v>33746</v>
      </c>
      <c r="F11" s="27" t="s">
        <v>122</v>
      </c>
      <c r="G11" s="27" t="s">
        <v>122</v>
      </c>
      <c r="H11" s="6">
        <v>28900</v>
      </c>
      <c r="I11" s="6">
        <v>37000</v>
      </c>
      <c r="J11" s="23" t="s">
        <v>38</v>
      </c>
      <c r="K11" s="3">
        <v>21</v>
      </c>
      <c r="L11" s="27" t="str">
        <f>IF(OR(J11="Sim",M11="Sim",I11/H11&gt;=2,N11/H11&gt;=5),"Alto",IF(OR(I11/H11&gt;=1,N11/H11&gt;=3,K11&gt;=30),"Médio","Baixo"))</f>
        <v>Médio</v>
      </c>
      <c r="M11" s="23" t="s">
        <v>38</v>
      </c>
      <c r="N11" s="29">
        <v>97500</v>
      </c>
    </row>
    <row r="12" spans="1:14" ht="15.75">
      <c r="A12" s="27" t="s">
        <v>19</v>
      </c>
      <c r="B12" s="27" t="str">
        <f ca="1">PROPER(Tabela1[[#This Row],[nome]])</f>
        <v>Tyrion Blackwood</v>
      </c>
      <c r="C12" s="30" t="s">
        <v>572</v>
      </c>
      <c r="D12" s="3">
        <v>67</v>
      </c>
      <c r="E12" s="5">
        <v>21674</v>
      </c>
      <c r="F12" s="27" t="s">
        <v>183</v>
      </c>
      <c r="G12" s="27" t="s">
        <v>397</v>
      </c>
      <c r="H12" s="6">
        <v>15200</v>
      </c>
      <c r="I12" s="6">
        <v>67500</v>
      </c>
      <c r="J12" s="23" t="s">
        <v>38</v>
      </c>
      <c r="K12" s="3">
        <v>12</v>
      </c>
      <c r="L12" s="27" t="str">
        <f>IF(OR(J12="Sim",M12="Sim",I12/H12&gt;=2,N12/H12&gt;=5),"Alto",IF(OR(I12/H12&gt;=1,N12/H12&gt;=3,K12&gt;=30),"Médio","Baixo"))</f>
        <v>Alto</v>
      </c>
      <c r="M12" s="23" t="s">
        <v>38</v>
      </c>
      <c r="N12" s="29">
        <v>97500</v>
      </c>
    </row>
    <row r="13" spans="1:14" ht="15.75">
      <c r="A13" s="27" t="s">
        <v>13</v>
      </c>
      <c r="B13" s="27" t="str">
        <f ca="1">PROPER(Tabela1[[#This Row],[nome]])</f>
        <v>Margaery  Hornwood</v>
      </c>
      <c r="C13" s="30" t="s">
        <v>768</v>
      </c>
      <c r="D13" s="3">
        <v>25</v>
      </c>
      <c r="E13" s="5">
        <v>37125</v>
      </c>
      <c r="F13" s="27" t="s">
        <v>122</v>
      </c>
      <c r="G13" s="27" t="s">
        <v>122</v>
      </c>
      <c r="H13" s="6">
        <v>2500</v>
      </c>
      <c r="I13" s="6">
        <v>72500</v>
      </c>
      <c r="J13" s="23" t="s">
        <v>38</v>
      </c>
      <c r="K13" s="3">
        <v>32</v>
      </c>
      <c r="L13" s="27" t="str">
        <f>IF(OR(J13="Sim",M13="Sim",I13/H13&gt;=2,N13/H13&gt;=5),"Alto",IF(OR(I13/H13&gt;=1,N13/H13&gt;=3,K13&gt;=30),"Médio","Baixo"))</f>
        <v>Alto</v>
      </c>
      <c r="M13" s="23" t="s">
        <v>38</v>
      </c>
      <c r="N13" s="29">
        <v>97000</v>
      </c>
    </row>
    <row r="14" spans="1:14" ht="15.75">
      <c r="A14" s="27" t="s">
        <v>19</v>
      </c>
      <c r="B14" s="27" t="str">
        <f ca="1">PROPER(Tabela1[[#This Row],[nome]])</f>
        <v>Roose Cerwyn</v>
      </c>
      <c r="C14" s="30" t="s">
        <v>306</v>
      </c>
      <c r="D14" s="3">
        <v>63</v>
      </c>
      <c r="E14" s="5">
        <v>23084</v>
      </c>
      <c r="F14" s="27" t="s">
        <v>86</v>
      </c>
      <c r="G14" s="27" t="s">
        <v>87</v>
      </c>
      <c r="H14" s="6">
        <v>17300</v>
      </c>
      <c r="I14" s="6">
        <v>22000</v>
      </c>
      <c r="J14" s="23" t="s">
        <v>38</v>
      </c>
      <c r="K14" s="3">
        <v>10</v>
      </c>
      <c r="L14" s="27" t="str">
        <f>IF(OR(J14="Sim",M14="Sim",I14/H14&gt;=2,N14/H14&gt;=5),"Alto",IF(OR(I14/H14&gt;=1,N14/H14&gt;=3,K14&gt;=30),"Médio","Baixo"))</f>
        <v>Alto</v>
      </c>
      <c r="M14" s="23" t="s">
        <v>38</v>
      </c>
      <c r="N14" s="29">
        <v>97000</v>
      </c>
    </row>
    <row r="15" spans="1:14" ht="15.75">
      <c r="A15" s="27" t="s">
        <v>13</v>
      </c>
      <c r="B15" s="27" t="str">
        <f ca="1">PROPER(Tabela1[[#This Row],[nome]])</f>
        <v>Robert Stark</v>
      </c>
      <c r="C15" s="30" t="s">
        <v>599</v>
      </c>
      <c r="D15" s="3">
        <v>57</v>
      </c>
      <c r="E15" s="5">
        <v>25350</v>
      </c>
      <c r="F15" s="27" t="s">
        <v>107</v>
      </c>
      <c r="G15" s="27" t="s">
        <v>77</v>
      </c>
      <c r="H15" s="6">
        <v>20600</v>
      </c>
      <c r="I15" s="6">
        <v>52500</v>
      </c>
      <c r="J15" s="23" t="s">
        <v>768</v>
      </c>
      <c r="K15" s="3">
        <v>16</v>
      </c>
      <c r="L15" s="27" t="str">
        <f>IF(OR(J15="Sim",M15="Sim",I15/H15&gt;=2,N15/H15&gt;=5),"Alto",IF(OR(I15/H15&gt;=1,N15/H15&gt;=3,K15&gt;=30),"Médio","Baixo"))</f>
        <v>Alto</v>
      </c>
      <c r="M15" s="23" t="s">
        <v>768</v>
      </c>
      <c r="N15" s="29">
        <v>97000</v>
      </c>
    </row>
    <row r="16" spans="1:14" ht="15.75">
      <c r="A16" s="27" t="s">
        <v>13</v>
      </c>
      <c r="B16" s="27" t="str">
        <f ca="1">PROPER(Tabela1[[#This Row],[nome]])</f>
        <v>Jojen Redwyne</v>
      </c>
      <c r="C16" s="30" t="s">
        <v>258</v>
      </c>
      <c r="D16" s="3">
        <v>24</v>
      </c>
      <c r="E16" s="5">
        <v>37491</v>
      </c>
      <c r="F16" s="27" t="s">
        <v>122</v>
      </c>
      <c r="G16" s="27" t="s">
        <v>237</v>
      </c>
      <c r="H16" s="6">
        <v>8900</v>
      </c>
      <c r="I16" s="6">
        <v>19500</v>
      </c>
      <c r="J16" s="23" t="s">
        <v>18</v>
      </c>
      <c r="K16" s="3">
        <v>33</v>
      </c>
      <c r="L16" s="27" t="str">
        <f>IF(OR(J16="Sim",M16="Sim",I16/H16&gt;=2,N16/H16&gt;=5),"Alto",IF(OR(I16/H16&gt;=1,N16/H16&gt;=3,K16&gt;=30),"Médio","Baixo"))</f>
        <v>Alto</v>
      </c>
      <c r="M16" s="23" t="s">
        <v>18</v>
      </c>
      <c r="N16" s="29">
        <v>96500</v>
      </c>
    </row>
    <row r="17" spans="1:14" ht="15.75">
      <c r="A17" s="27" t="s">
        <v>13</v>
      </c>
      <c r="B17" s="27" t="str">
        <f ca="1">PROPER(Tabela1[[#This Row],[nome]])</f>
        <v>Varys Arryn</v>
      </c>
      <c r="C17" s="30" t="s">
        <v>417</v>
      </c>
      <c r="D17" s="3">
        <v>56</v>
      </c>
      <c r="E17" s="5">
        <v>25808</v>
      </c>
      <c r="F17" s="27" t="s">
        <v>86</v>
      </c>
      <c r="G17" s="27" t="s">
        <v>87</v>
      </c>
      <c r="H17" s="6">
        <v>5400</v>
      </c>
      <c r="I17" s="6">
        <v>61000</v>
      </c>
      <c r="J17" s="23" t="s">
        <v>38</v>
      </c>
      <c r="K17" s="3">
        <v>12</v>
      </c>
      <c r="L17" s="27" t="str">
        <f>IF(OR(J17="Sim",M17="Sim",I17/H17&gt;=2,N17/H17&gt;=5),"Alto",IF(OR(I17/H17&gt;=1,N17/H17&gt;=3,K17&gt;=30),"Médio","Baixo"))</f>
        <v>Alto</v>
      </c>
      <c r="M17" s="23" t="s">
        <v>38</v>
      </c>
      <c r="N17" s="29">
        <v>96500</v>
      </c>
    </row>
    <row r="18" spans="1:14" ht="15.75">
      <c r="A18" s="27" t="s">
        <v>19</v>
      </c>
      <c r="B18" s="27" t="str">
        <f ca="1">PROPER(Tabela1[[#This Row],[nome]])</f>
        <v>Missandei Tarly</v>
      </c>
      <c r="C18" s="30" t="s">
        <v>768</v>
      </c>
      <c r="D18" s="3">
        <v>55</v>
      </c>
      <c r="E18" s="5">
        <v>25892</v>
      </c>
      <c r="F18" s="27" t="s">
        <v>21</v>
      </c>
      <c r="G18" s="27" t="s">
        <v>22</v>
      </c>
      <c r="H18" s="6">
        <v>5300</v>
      </c>
      <c r="I18" s="6">
        <v>6500</v>
      </c>
      <c r="J18" s="23" t="s">
        <v>38</v>
      </c>
      <c r="K18" s="3">
        <v>42</v>
      </c>
      <c r="L18" s="27" t="str">
        <f>IF(OR(J18="Sim",M18="Sim",I18/H18&gt;=2,N18/H18&gt;=5),"Alto",IF(OR(I18/H18&gt;=1,N18/H18&gt;=3,K18&gt;=30),"Médio","Baixo"))</f>
        <v>Alto</v>
      </c>
      <c r="M18" s="23" t="s">
        <v>38</v>
      </c>
      <c r="N18" s="29">
        <v>96000</v>
      </c>
    </row>
    <row r="19" spans="1:14" ht="15.75">
      <c r="A19" s="27" t="s">
        <v>13</v>
      </c>
      <c r="B19" s="27" t="str">
        <f ca="1">PROPER(Tabela1[[#This Row],[nome]])</f>
        <v>Theon Baratheon</v>
      </c>
      <c r="C19" s="30" t="s">
        <v>330</v>
      </c>
      <c r="D19" s="3">
        <v>26</v>
      </c>
      <c r="E19" s="5">
        <v>36622</v>
      </c>
      <c r="F19" s="27" t="s">
        <v>122</v>
      </c>
      <c r="G19" s="27" t="s">
        <v>122</v>
      </c>
      <c r="H19" s="6">
        <v>22900</v>
      </c>
      <c r="I19" s="6">
        <v>65500</v>
      </c>
      <c r="J19" s="23" t="s">
        <v>18</v>
      </c>
      <c r="K19" s="3">
        <v>40</v>
      </c>
      <c r="L19" s="27" t="str">
        <f>IF(OR(J19="Sim",M19="Sim",I19/H19&gt;=2,N19/H19&gt;=5),"Alto",IF(OR(I19/H19&gt;=1,N19/H19&gt;=3,K19&gt;=30),"Médio","Baixo"))</f>
        <v>Alto</v>
      </c>
      <c r="M19" s="23" t="s">
        <v>18</v>
      </c>
      <c r="N19" s="29">
        <v>95500</v>
      </c>
    </row>
    <row r="20" spans="1:14" ht="15.75">
      <c r="A20" s="27" t="s">
        <v>13</v>
      </c>
      <c r="B20" s="27" t="str">
        <f ca="1">PROPER(Tabela1[[#This Row],[nome]])</f>
        <v>Jeor  Payne</v>
      </c>
      <c r="C20" s="30" t="s">
        <v>768</v>
      </c>
      <c r="D20" s="3">
        <v>33</v>
      </c>
      <c r="E20" s="5">
        <v>34021</v>
      </c>
      <c r="F20" s="27" t="s">
        <v>21</v>
      </c>
      <c r="G20" s="27" t="s">
        <v>22</v>
      </c>
      <c r="H20" s="8" t="s">
        <v>768</v>
      </c>
      <c r="I20" s="6">
        <v>73500</v>
      </c>
      <c r="J20" s="23" t="s">
        <v>38</v>
      </c>
      <c r="K20" s="3">
        <v>33</v>
      </c>
      <c r="L20" s="27" t="s">
        <v>770</v>
      </c>
      <c r="M20" s="23" t="s">
        <v>38</v>
      </c>
      <c r="N20" s="29">
        <v>95000</v>
      </c>
    </row>
    <row r="21" spans="1:14" ht="15.75">
      <c r="A21" s="27" t="s">
        <v>13</v>
      </c>
      <c r="B21" s="27" t="str">
        <f ca="1">PROPER(Tabela1[[#This Row],[nome]])</f>
        <v>Lyanna Stark</v>
      </c>
      <c r="C21" s="30" t="s">
        <v>449</v>
      </c>
      <c r="D21" s="3">
        <v>45</v>
      </c>
      <c r="E21" s="5">
        <v>29769</v>
      </c>
      <c r="F21" s="27" t="s">
        <v>21</v>
      </c>
      <c r="G21" s="27" t="s">
        <v>22</v>
      </c>
      <c r="H21" s="6">
        <v>24400</v>
      </c>
      <c r="I21" s="6">
        <v>7500</v>
      </c>
      <c r="J21" s="23" t="s">
        <v>38</v>
      </c>
      <c r="K21" s="3">
        <v>13</v>
      </c>
      <c r="L21" s="27" t="str">
        <f>IF(OR(J21="Sim",M21="Sim",I21/H21&gt;=2,N21/H21&gt;=5),"Alto",IF(OR(I21/H21&gt;=1,N21/H21&gt;=3,K21&gt;=30),"Médio","Baixo"))</f>
        <v>Médio</v>
      </c>
      <c r="M21" s="23" t="s">
        <v>38</v>
      </c>
      <c r="N21" s="29">
        <v>95000</v>
      </c>
    </row>
    <row r="22" spans="1:14" ht="15.75">
      <c r="A22" s="27" t="s">
        <v>13</v>
      </c>
      <c r="B22" s="27" t="str">
        <f ca="1">PROPER(Tabela1[[#This Row],[nome]])</f>
        <v>Jorah Marbrand</v>
      </c>
      <c r="C22" s="30" t="s">
        <v>467</v>
      </c>
      <c r="D22" s="3">
        <v>37</v>
      </c>
      <c r="E22" s="5">
        <v>32414</v>
      </c>
      <c r="F22" s="27" t="s">
        <v>26</v>
      </c>
      <c r="G22" s="31" t="s">
        <v>27</v>
      </c>
      <c r="H22" s="6">
        <v>12800</v>
      </c>
      <c r="I22" s="6">
        <v>76500</v>
      </c>
      <c r="J22" s="23" t="s">
        <v>38</v>
      </c>
      <c r="K22" s="3">
        <v>30</v>
      </c>
      <c r="L22" s="27" t="str">
        <f>IF(OR(J22="Sim",M22="Sim",I22/H22&gt;=2,N22/H22&gt;=5),"Alto",IF(OR(I22/H22&gt;=1,N22/H22&gt;=3,K22&gt;=30),"Médio","Baixo"))</f>
        <v>Alto</v>
      </c>
      <c r="M22" s="23" t="s">
        <v>38</v>
      </c>
      <c r="N22" s="29">
        <v>95000</v>
      </c>
    </row>
    <row r="23" spans="1:14" ht="15.75">
      <c r="A23" s="27" t="s">
        <v>13</v>
      </c>
      <c r="B23" s="27" t="str">
        <f ca="1">PROPER(Tabela1[[#This Row],[nome]])</f>
        <v>Jon Bolton</v>
      </c>
      <c r="C23" s="30" t="s">
        <v>597</v>
      </c>
      <c r="D23" s="3">
        <v>65</v>
      </c>
      <c r="E23" s="5">
        <v>22297</v>
      </c>
      <c r="F23" s="27" t="s">
        <v>41</v>
      </c>
      <c r="G23" s="27" t="s">
        <v>46</v>
      </c>
      <c r="H23" s="6">
        <v>27300</v>
      </c>
      <c r="I23" s="6">
        <v>48500</v>
      </c>
      <c r="J23" s="23" t="s">
        <v>38</v>
      </c>
      <c r="K23" s="3">
        <v>29</v>
      </c>
      <c r="L23" s="27" t="str">
        <f>IF(OR(J23="Sim",M23="Sim",I23/H23&gt;=2,N23/H23&gt;=5),"Alto",IF(OR(I23/H23&gt;=1,N23/H23&gt;=3,K23&gt;=30),"Médio","Baixo"))</f>
        <v>Médio</v>
      </c>
      <c r="M23" s="23" t="s">
        <v>38</v>
      </c>
      <c r="N23" s="29">
        <v>94000</v>
      </c>
    </row>
    <row r="24" spans="1:14" ht="15.75">
      <c r="A24" s="27" t="s">
        <v>13</v>
      </c>
      <c r="B24" s="27" t="str">
        <f ca="1">PROPER(Tabela1[[#This Row],[nome]])</f>
        <v>Thoros  Baelish</v>
      </c>
      <c r="C24" s="30" t="s">
        <v>239</v>
      </c>
      <c r="D24" s="3">
        <v>53</v>
      </c>
      <c r="E24" s="5">
        <v>26812</v>
      </c>
      <c r="F24" s="27" t="s">
        <v>59</v>
      </c>
      <c r="G24" s="27" t="s">
        <v>60</v>
      </c>
      <c r="H24" s="6">
        <v>27800</v>
      </c>
      <c r="I24" s="6">
        <v>52000</v>
      </c>
      <c r="J24" s="23" t="s">
        <v>38</v>
      </c>
      <c r="K24" s="3">
        <v>43</v>
      </c>
      <c r="L24" s="27" t="str">
        <f>IF(OR(J24="Sim",M24="Sim",I24/H24&gt;=2,N24/H24&gt;=5),"Alto",IF(OR(I24/H24&gt;=1,N24/H24&gt;=3,K24&gt;=30),"Médio","Baixo"))</f>
        <v>Médio</v>
      </c>
      <c r="M24" s="23" t="s">
        <v>38</v>
      </c>
      <c r="N24" s="29">
        <v>93500</v>
      </c>
    </row>
    <row r="25" spans="1:14" ht="15.75">
      <c r="A25" s="27" t="s">
        <v>13</v>
      </c>
      <c r="B25" s="27" t="str">
        <f ca="1">PROPER(Tabela1[[#This Row],[nome]])</f>
        <v>Tormund Yronwood</v>
      </c>
      <c r="C25" s="30" t="s">
        <v>509</v>
      </c>
      <c r="D25" s="3">
        <v>39</v>
      </c>
      <c r="E25" s="5">
        <v>31972</v>
      </c>
      <c r="F25" s="27" t="s">
        <v>76</v>
      </c>
      <c r="G25" s="27" t="s">
        <v>77</v>
      </c>
      <c r="H25" s="6">
        <v>8700</v>
      </c>
      <c r="I25" s="6">
        <v>4500</v>
      </c>
      <c r="J25" s="23" t="s">
        <v>38</v>
      </c>
      <c r="K25" s="3">
        <v>16</v>
      </c>
      <c r="L25" s="27" t="str">
        <f>IF(OR(J25="Sim",M25="Sim",I25/H25&gt;=2,N25/H25&gt;=5),"Alto",IF(OR(I25/H25&gt;=1,N25/H25&gt;=3,K25&gt;=30),"Médio","Baixo"))</f>
        <v>Alto</v>
      </c>
      <c r="M25" s="23" t="s">
        <v>38</v>
      </c>
      <c r="N25" s="29">
        <v>93500</v>
      </c>
    </row>
    <row r="26" spans="1:14" ht="15.75">
      <c r="A26" s="27" t="s">
        <v>19</v>
      </c>
      <c r="B26" s="27" t="str">
        <f ca="1">PROPER(Tabela1[[#This Row],[nome]])</f>
        <v>Robert Mallister</v>
      </c>
      <c r="C26" s="30" t="s">
        <v>768</v>
      </c>
      <c r="D26" s="3">
        <v>57</v>
      </c>
      <c r="E26" s="5">
        <v>25369</v>
      </c>
      <c r="F26" s="27" t="s">
        <v>65</v>
      </c>
      <c r="G26" s="27" t="s">
        <v>60</v>
      </c>
      <c r="H26" s="6">
        <v>28600</v>
      </c>
      <c r="I26" s="6">
        <v>73500</v>
      </c>
      <c r="J26" s="23" t="s">
        <v>38</v>
      </c>
      <c r="K26" s="3">
        <v>29</v>
      </c>
      <c r="L26" s="27" t="str">
        <f>IF(OR(J26="Sim",M26="Sim",I26/H26&gt;=2,N26/H26&gt;=5),"Alto",IF(OR(I26/H26&gt;=1,N26/H26&gt;=3,K26&gt;=30),"Médio","Baixo"))</f>
        <v>Alto</v>
      </c>
      <c r="M26" s="23" t="s">
        <v>38</v>
      </c>
      <c r="N26" s="29">
        <v>93500</v>
      </c>
    </row>
    <row r="27" spans="1:14" ht="15.75">
      <c r="A27" s="27" t="s">
        <v>13</v>
      </c>
      <c r="B27" s="27" t="str">
        <f ca="1">PROPER(Tabela1[[#This Row],[nome]])</f>
        <v>Daario  Dayne</v>
      </c>
      <c r="C27" s="30" t="s">
        <v>551</v>
      </c>
      <c r="D27" s="3">
        <v>25</v>
      </c>
      <c r="E27" s="5">
        <v>37026</v>
      </c>
      <c r="F27" s="27" t="s">
        <v>243</v>
      </c>
      <c r="G27" s="27" t="s">
        <v>22</v>
      </c>
      <c r="H27" s="6">
        <v>28200</v>
      </c>
      <c r="I27" s="8">
        <v>0</v>
      </c>
      <c r="J27" s="23" t="s">
        <v>38</v>
      </c>
      <c r="K27" s="3">
        <v>29</v>
      </c>
      <c r="L27" s="27" t="str">
        <f>IF(OR(J27="Sim",M27="Sim",I27/H27&gt;=2,N27/H27&gt;=5),"Alto",IF(OR(I27/H27&gt;=1,N27/H27&gt;=3,K27&gt;=30),"Médio","Baixo"))</f>
        <v>Médio</v>
      </c>
      <c r="M27" s="23" t="s">
        <v>38</v>
      </c>
      <c r="N27" s="29">
        <v>92500</v>
      </c>
    </row>
    <row r="28" spans="1:14" ht="15.75">
      <c r="A28" s="27" t="s">
        <v>13</v>
      </c>
      <c r="B28" s="27" t="str">
        <f ca="1">PROPER(Tabela1[[#This Row],[nome]])</f>
        <v>Cersei Greyjoy</v>
      </c>
      <c r="C28" s="30" t="s">
        <v>565</v>
      </c>
      <c r="D28" s="3">
        <v>47</v>
      </c>
      <c r="E28" s="5">
        <v>28841</v>
      </c>
      <c r="F28" s="27" t="s">
        <v>122</v>
      </c>
      <c r="G28" s="27" t="s">
        <v>122</v>
      </c>
      <c r="H28" s="6">
        <v>21300</v>
      </c>
      <c r="I28" s="6">
        <v>62000</v>
      </c>
      <c r="J28" s="23" t="s">
        <v>18</v>
      </c>
      <c r="K28" s="3">
        <v>37</v>
      </c>
      <c r="L28" s="27" t="str">
        <f>IF(OR(J28="Sim",M28="Sim",I28/H28&gt;=2,N28/H28&gt;=5),"Alto",IF(OR(I28/H28&gt;=1,N28/H28&gt;=3,K28&gt;=30),"Médio","Baixo"))</f>
        <v>Alto</v>
      </c>
      <c r="M28" s="23" t="s">
        <v>18</v>
      </c>
      <c r="N28" s="29">
        <v>92500</v>
      </c>
    </row>
    <row r="29" spans="1:14" ht="15.75">
      <c r="A29" s="27" t="s">
        <v>13</v>
      </c>
      <c r="B29" s="27" t="str">
        <f ca="1">PROPER(Tabela1[[#This Row],[nome]])</f>
        <v>Gendry Cerwyn</v>
      </c>
      <c r="C29" s="30" t="s">
        <v>609</v>
      </c>
      <c r="D29" s="3">
        <v>24</v>
      </c>
      <c r="E29" s="5">
        <v>37394</v>
      </c>
      <c r="F29" s="27" t="s">
        <v>41</v>
      </c>
      <c r="G29" s="27" t="s">
        <v>46</v>
      </c>
      <c r="H29" s="6">
        <v>14200</v>
      </c>
      <c r="I29" s="6">
        <v>71000</v>
      </c>
      <c r="J29" s="23" t="s">
        <v>38</v>
      </c>
      <c r="K29" s="3">
        <v>10</v>
      </c>
      <c r="L29" s="27" t="str">
        <f>IF(OR(J29="Sim",M29="Sim",I29/H29&gt;=2,N29/H29&gt;=5),"Alto",IF(OR(I29/H29&gt;=1,N29/H29&gt;=3,K29&gt;=30),"Médio","Baixo"))</f>
        <v>Alto</v>
      </c>
      <c r="M29" s="23" t="s">
        <v>38</v>
      </c>
      <c r="N29" s="29">
        <v>91500</v>
      </c>
    </row>
    <row r="30" spans="1:14" ht="15.75">
      <c r="A30" s="27" t="s">
        <v>13</v>
      </c>
      <c r="B30" s="27" t="str">
        <f ca="1">PROPER(Tabela1[[#This Row],[nome]])</f>
        <v>Davos  Baratheon</v>
      </c>
      <c r="C30" s="30" t="s">
        <v>615</v>
      </c>
      <c r="D30" s="3">
        <f ca="1">INT((TODAY()-E30)/365)</f>
        <v>27</v>
      </c>
      <c r="E30" s="5">
        <v>36337</v>
      </c>
      <c r="F30" s="27" t="s">
        <v>108</v>
      </c>
      <c r="G30" s="27" t="s">
        <v>80</v>
      </c>
      <c r="H30" s="6">
        <v>22500</v>
      </c>
      <c r="I30" s="6">
        <v>55500</v>
      </c>
      <c r="J30" s="23" t="s">
        <v>38</v>
      </c>
      <c r="K30" s="3">
        <v>32</v>
      </c>
      <c r="L30" s="27" t="str">
        <f>IF(OR(J30="Sim",M30="Sim",I30/H30&gt;=2,N30/H30&gt;=5),"Alto",IF(OR(I30/H30&gt;=1,N30/H30&gt;=3,K30&gt;=30),"Médio","Baixo"))</f>
        <v>Alto</v>
      </c>
      <c r="M30" s="23" t="s">
        <v>38</v>
      </c>
      <c r="N30" s="29">
        <v>91500</v>
      </c>
    </row>
    <row r="31" spans="1:14" ht="15.75">
      <c r="A31" s="27" t="s">
        <v>19</v>
      </c>
      <c r="B31" s="27" t="str">
        <f ca="1">PROPER(Tabela1[[#This Row],[nome]])</f>
        <v>Bran Karstark</v>
      </c>
      <c r="C31" s="30" t="s">
        <v>427</v>
      </c>
      <c r="D31" s="3">
        <v>21</v>
      </c>
      <c r="E31" s="5">
        <v>38328</v>
      </c>
      <c r="F31" s="27" t="s">
        <v>50</v>
      </c>
      <c r="G31" s="27" t="s">
        <v>70</v>
      </c>
      <c r="H31" s="6">
        <v>4400</v>
      </c>
      <c r="I31" s="6">
        <v>23500</v>
      </c>
      <c r="J31" s="23" t="s">
        <v>18</v>
      </c>
      <c r="K31" s="3">
        <v>31</v>
      </c>
      <c r="L31" s="27" t="str">
        <f>IF(OR(J31="Sim",M31="Sim",I31/H31&gt;=2,N31/H31&gt;=5),"Alto",IF(OR(I31/H31&gt;=1,N31/H31&gt;=3,K31&gt;=30),"Médio","Baixo"))</f>
        <v>Alto</v>
      </c>
      <c r="M31" s="23" t="s">
        <v>18</v>
      </c>
      <c r="N31" s="29">
        <v>91000</v>
      </c>
    </row>
    <row r="32" spans="1:14" ht="15.75">
      <c r="A32" s="27" t="s">
        <v>19</v>
      </c>
      <c r="B32" s="27" t="str">
        <f ca="1">PROPER(Tabela1[[#This Row],[nome]])</f>
        <v>Daario Marbrand</v>
      </c>
      <c r="C32" s="30" t="s">
        <v>202</v>
      </c>
      <c r="D32" s="3">
        <v>46</v>
      </c>
      <c r="E32" s="5">
        <v>29113</v>
      </c>
      <c r="F32" s="27" t="s">
        <v>100</v>
      </c>
      <c r="G32" s="27" t="s">
        <v>80</v>
      </c>
      <c r="H32" s="6">
        <v>15000</v>
      </c>
      <c r="I32" s="8">
        <v>0</v>
      </c>
      <c r="J32" s="23" t="s">
        <v>38</v>
      </c>
      <c r="K32" s="3">
        <v>40</v>
      </c>
      <c r="L32" s="27" t="str">
        <f>IF(OR(J32="Sim",M32="Sim",I32/H32&gt;=2,N32/H32&gt;=5),"Alto",IF(OR(I32/H32&gt;=1,N32/H32&gt;=3,K32&gt;=30),"Médio","Baixo"))</f>
        <v>Alto</v>
      </c>
      <c r="M32" s="23" t="s">
        <v>38</v>
      </c>
      <c r="N32" s="29">
        <v>90500</v>
      </c>
    </row>
    <row r="33" spans="1:14" ht="15.75">
      <c r="A33" s="27" t="s">
        <v>13</v>
      </c>
      <c r="B33" s="27" t="str">
        <f ca="1">PROPER(Tabela1[[#This Row],[nome]])</f>
        <v>Stannis Crakehall</v>
      </c>
      <c r="C33" s="30" t="s">
        <v>647</v>
      </c>
      <c r="D33" s="3">
        <v>71</v>
      </c>
      <c r="E33" s="5">
        <v>20275</v>
      </c>
      <c r="F33" s="27" t="s">
        <v>41</v>
      </c>
      <c r="G33" s="27" t="s">
        <v>46</v>
      </c>
      <c r="H33" s="6">
        <v>14200</v>
      </c>
      <c r="I33" s="6">
        <v>51000</v>
      </c>
      <c r="J33" s="23" t="s">
        <v>38</v>
      </c>
      <c r="K33" s="3">
        <v>10</v>
      </c>
      <c r="L33" s="27" t="str">
        <f>IF(OR(J33="Sim",M33="Sim",I33/H33&gt;=2,N33/H33&gt;=5),"Alto",IF(OR(I33/H33&gt;=1,N33/H33&gt;=3,K33&gt;=30),"Médio","Baixo"))</f>
        <v>Alto</v>
      </c>
      <c r="M33" s="23" t="s">
        <v>38</v>
      </c>
      <c r="N33" s="29">
        <v>90500</v>
      </c>
    </row>
    <row r="34" spans="1:14" ht="15.75">
      <c r="A34" s="27" t="s">
        <v>13</v>
      </c>
      <c r="B34" s="27" t="str">
        <f ca="1">PROPER(Tabela1[[#This Row],[nome]])</f>
        <v>Renly Seaworth</v>
      </c>
      <c r="C34" s="30" t="s">
        <v>768</v>
      </c>
      <c r="D34" s="3">
        <v>18</v>
      </c>
      <c r="E34" s="5">
        <v>39342</v>
      </c>
      <c r="F34" s="27" t="s">
        <v>86</v>
      </c>
      <c r="G34" s="27" t="s">
        <v>87</v>
      </c>
      <c r="H34" s="6">
        <v>28900</v>
      </c>
      <c r="I34" s="6">
        <v>22000</v>
      </c>
      <c r="J34" s="23" t="s">
        <v>38</v>
      </c>
      <c r="K34" s="3">
        <v>23</v>
      </c>
      <c r="L34" s="27" t="str">
        <f>IF(OR(J34="Sim",M34="Sim",I34/H34&gt;=2,N34/H34&gt;=5),"Alto",IF(OR(I34/H34&gt;=1,N34/H34&gt;=3,K34&gt;=30),"Médio","Baixo"))</f>
        <v>Médio</v>
      </c>
      <c r="M34" s="23" t="s">
        <v>38</v>
      </c>
      <c r="N34" s="29">
        <v>90000</v>
      </c>
    </row>
    <row r="35" spans="1:14" ht="15.75">
      <c r="A35" s="27" t="s">
        <v>13</v>
      </c>
      <c r="B35" s="27" t="str">
        <f ca="1">PROPER(Tabela1[[#This Row],[nome]])</f>
        <v>Jojen Hornwood</v>
      </c>
      <c r="C35" s="30" t="s">
        <v>577</v>
      </c>
      <c r="D35" s="3">
        <f ca="1">INT((TODAY()-E35)/365)</f>
        <v>36</v>
      </c>
      <c r="E35" s="5">
        <v>32796</v>
      </c>
      <c r="F35" s="27" t="s">
        <v>26</v>
      </c>
      <c r="G35" s="27" t="s">
        <v>27</v>
      </c>
      <c r="H35" s="6">
        <v>28600</v>
      </c>
      <c r="I35" s="6" t="s">
        <v>768</v>
      </c>
      <c r="J35" s="23" t="s">
        <v>38</v>
      </c>
      <c r="K35" s="3">
        <v>19</v>
      </c>
      <c r="L35" s="27" t="s">
        <v>770</v>
      </c>
      <c r="M35" s="23" t="s">
        <v>38</v>
      </c>
      <c r="N35" s="29">
        <v>90000</v>
      </c>
    </row>
    <row r="36" spans="1:14" ht="15.75">
      <c r="A36" s="27" t="s">
        <v>13</v>
      </c>
      <c r="B36" s="27" t="str">
        <f ca="1">PROPER(Tabela1[[#This Row],[nome]])</f>
        <v>Roose Manderly</v>
      </c>
      <c r="C36" s="30" t="s">
        <v>768</v>
      </c>
      <c r="D36" s="3">
        <v>42</v>
      </c>
      <c r="E36" s="5">
        <v>30642</v>
      </c>
      <c r="F36" s="27" t="s">
        <v>122</v>
      </c>
      <c r="G36" s="27" t="s">
        <v>122</v>
      </c>
      <c r="H36" s="8" t="s">
        <v>768</v>
      </c>
      <c r="I36" s="6">
        <v>19500</v>
      </c>
      <c r="J36" s="23" t="s">
        <v>38</v>
      </c>
      <c r="K36" s="3">
        <v>42</v>
      </c>
      <c r="L36" s="27" t="s">
        <v>769</v>
      </c>
      <c r="M36" s="23" t="s">
        <v>38</v>
      </c>
      <c r="N36" s="29">
        <v>89500</v>
      </c>
    </row>
    <row r="37" spans="1:14" ht="15.75">
      <c r="A37" s="27" t="s">
        <v>13</v>
      </c>
      <c r="B37" s="27" t="str">
        <f ca="1">PROPER(Tabela1[[#This Row],[nome]])</f>
        <v>Melisandre Blackwood</v>
      </c>
      <c r="C37" s="30" t="s">
        <v>241</v>
      </c>
      <c r="D37" s="3">
        <v>40</v>
      </c>
      <c r="E37" s="5">
        <v>31647</v>
      </c>
      <c r="F37" s="27" t="s">
        <v>100</v>
      </c>
      <c r="G37" s="27" t="s">
        <v>80</v>
      </c>
      <c r="H37" s="6">
        <v>18700</v>
      </c>
      <c r="I37" s="6">
        <v>15000</v>
      </c>
      <c r="J37" s="23" t="s">
        <v>768</v>
      </c>
      <c r="K37" s="3">
        <v>26</v>
      </c>
      <c r="L37" s="27" t="str">
        <f>IF(OR(J37="Sim",M37="Sim",I37/H37&gt;=2,N37/H37&gt;=5),"Alto",IF(OR(I37/H37&gt;=1,N37/H37&gt;=3,K37&gt;=30),"Médio","Baixo"))</f>
        <v>Médio</v>
      </c>
      <c r="M37" s="23" t="s">
        <v>768</v>
      </c>
      <c r="N37" s="29">
        <v>89500</v>
      </c>
    </row>
    <row r="38" spans="1:14" ht="15.75">
      <c r="A38" s="27" t="s">
        <v>13</v>
      </c>
      <c r="B38" s="27" t="str">
        <f ca="1">PROPER(Tabela1[[#This Row],[nome]])</f>
        <v>Missandei Redwyne</v>
      </c>
      <c r="C38" s="30" t="s">
        <v>584</v>
      </c>
      <c r="D38" s="3">
        <v>47</v>
      </c>
      <c r="E38" s="5">
        <v>29007</v>
      </c>
      <c r="F38" s="27" t="s">
        <v>59</v>
      </c>
      <c r="G38" s="27" t="s">
        <v>60</v>
      </c>
      <c r="H38" s="6">
        <v>5000</v>
      </c>
      <c r="I38" s="6">
        <v>75500</v>
      </c>
      <c r="J38" s="23" t="s">
        <v>18</v>
      </c>
      <c r="K38" s="3">
        <v>2</v>
      </c>
      <c r="L38" s="27" t="str">
        <f>IF(OR(J38="Sim",M38="Sim",I38/H38&gt;=2,N38/H38&gt;=5),"Alto",IF(OR(I38/H38&gt;=1,N38/H38&gt;=3,K38&gt;=30),"Médio","Baixo"))</f>
        <v>Alto</v>
      </c>
      <c r="M38" s="23" t="s">
        <v>18</v>
      </c>
      <c r="N38" s="29">
        <v>89500</v>
      </c>
    </row>
    <row r="39" spans="1:14" ht="15.75">
      <c r="A39" s="27" t="s">
        <v>13</v>
      </c>
      <c r="B39" s="27" t="str">
        <f ca="1">PROPER(Tabela1[[#This Row],[nome]])</f>
        <v>Roose Bolton</v>
      </c>
      <c r="C39" s="30" t="s">
        <v>768</v>
      </c>
      <c r="D39" s="3">
        <v>73</v>
      </c>
      <c r="E39" s="5">
        <v>19323</v>
      </c>
      <c r="F39" s="27" t="s">
        <v>183</v>
      </c>
      <c r="G39" s="27" t="s">
        <v>397</v>
      </c>
      <c r="H39" s="6">
        <v>18100</v>
      </c>
      <c r="I39" s="6" t="s">
        <v>768</v>
      </c>
      <c r="J39" s="23" t="s">
        <v>38</v>
      </c>
      <c r="K39" s="3">
        <v>36</v>
      </c>
      <c r="L39" s="27" t="s">
        <v>770</v>
      </c>
      <c r="M39" s="23" t="s">
        <v>38</v>
      </c>
      <c r="N39" s="29">
        <v>89000</v>
      </c>
    </row>
    <row r="40" spans="1:14" ht="15.75">
      <c r="A40" s="27" t="s">
        <v>13</v>
      </c>
      <c r="B40" s="27" t="str">
        <f ca="1">PROPER(Tabela1[[#This Row],[nome]])</f>
        <v>Aegon Blackwood</v>
      </c>
      <c r="C40" s="30" t="s">
        <v>687</v>
      </c>
      <c r="D40" s="3">
        <v>69</v>
      </c>
      <c r="E40" s="5">
        <v>21054</v>
      </c>
      <c r="F40" s="27" t="s">
        <v>111</v>
      </c>
      <c r="G40" s="27" t="s">
        <v>87</v>
      </c>
      <c r="H40" s="6">
        <v>23800</v>
      </c>
      <c r="I40" s="6" t="s">
        <v>768</v>
      </c>
      <c r="J40" s="23" t="s">
        <v>768</v>
      </c>
      <c r="K40" s="3">
        <v>26</v>
      </c>
      <c r="L40" s="27" t="s">
        <v>770</v>
      </c>
      <c r="M40" s="23" t="s">
        <v>768</v>
      </c>
      <c r="N40" s="29">
        <v>89000</v>
      </c>
    </row>
    <row r="41" spans="1:14" ht="15.75">
      <c r="A41" s="27" t="s">
        <v>13</v>
      </c>
      <c r="B41" s="27" t="str">
        <f ca="1">PROPER(Tabela1[[#This Row],[nome]])</f>
        <v>Catelyn Yronwood</v>
      </c>
      <c r="C41" s="30" t="s">
        <v>114</v>
      </c>
      <c r="D41" s="3">
        <v>38</v>
      </c>
      <c r="E41" s="5">
        <v>32166</v>
      </c>
      <c r="F41" s="27" t="s">
        <v>79</v>
      </c>
      <c r="G41" s="27" t="s">
        <v>80</v>
      </c>
      <c r="H41" s="6">
        <v>19500</v>
      </c>
      <c r="I41" s="6">
        <v>39000</v>
      </c>
      <c r="J41" s="23" t="s">
        <v>38</v>
      </c>
      <c r="K41" s="3">
        <v>25</v>
      </c>
      <c r="L41" s="27" t="str">
        <f>IF(OR(J41="Sim",M41="Sim",I41/H41&gt;=2,N41/H41&gt;=5),"Alto",IF(OR(I41/H41&gt;=1,N41/H41&gt;=3,K41&gt;=30),"Médio","Baixo"))</f>
        <v>Alto</v>
      </c>
      <c r="M41" s="23" t="s">
        <v>38</v>
      </c>
      <c r="N41" s="29">
        <v>88500</v>
      </c>
    </row>
    <row r="42" spans="1:14" ht="15.75">
      <c r="A42" s="27" t="s">
        <v>19</v>
      </c>
      <c r="B42" s="27" t="str">
        <f ca="1">PROPER(Tabela1[[#This Row],[nome]])</f>
        <v>Rhaegar Stark</v>
      </c>
      <c r="C42" s="30" t="s">
        <v>97</v>
      </c>
      <c r="D42" s="3">
        <v>33</v>
      </c>
      <c r="E42" s="5">
        <v>34082</v>
      </c>
      <c r="F42" s="27" t="s">
        <v>59</v>
      </c>
      <c r="G42" s="27" t="s">
        <v>60</v>
      </c>
      <c r="H42" s="6">
        <v>23600</v>
      </c>
      <c r="I42" s="6">
        <v>75500</v>
      </c>
      <c r="J42" s="23" t="s">
        <v>38</v>
      </c>
      <c r="K42" s="3">
        <v>16</v>
      </c>
      <c r="L42" s="27" t="str">
        <f>IF(OR(J42="Sim",M42="Sim",I42/H42&gt;=2,N42/H42&gt;=5),"Alto",IF(OR(I42/H42&gt;=1,N42/H42&gt;=3,K42&gt;=30),"Médio","Baixo"))</f>
        <v>Alto</v>
      </c>
      <c r="M42" s="23" t="s">
        <v>38</v>
      </c>
      <c r="N42" s="29">
        <v>88000</v>
      </c>
    </row>
    <row r="43" spans="1:14" ht="15.75">
      <c r="A43" s="27"/>
      <c r="B43" s="27" t="str">
        <f ca="1">PROPER(Tabela1[[#This Row],[nome]])</f>
        <v>Bronn Umber</v>
      </c>
      <c r="C43" s="30" t="s">
        <v>433</v>
      </c>
      <c r="D43" s="3">
        <v>56</v>
      </c>
      <c r="E43" s="5">
        <v>25705</v>
      </c>
      <c r="F43" s="27" t="s">
        <v>163</v>
      </c>
      <c r="G43" s="27" t="s">
        <v>27</v>
      </c>
      <c r="H43" s="6">
        <v>11100</v>
      </c>
      <c r="I43" s="6">
        <v>13000</v>
      </c>
      <c r="J43" s="23" t="s">
        <v>38</v>
      </c>
      <c r="K43" s="3">
        <v>38</v>
      </c>
      <c r="L43" s="27" t="str">
        <f>IF(OR(J43="Sim",M43="Sim",I43/H43&gt;=2,N43/H43&gt;=5),"Alto",IF(OR(I43/H43&gt;=1,N43/H43&gt;=3,K43&gt;=30),"Médio","Baixo"))</f>
        <v>Alto</v>
      </c>
      <c r="M43" s="23" t="s">
        <v>38</v>
      </c>
      <c r="N43" s="29">
        <v>88000</v>
      </c>
    </row>
    <row r="44" spans="1:14" ht="15.75">
      <c r="A44" s="27" t="s">
        <v>19</v>
      </c>
      <c r="B44" s="27" t="str">
        <f ca="1">PROPER(Tabela1[[#This Row],[nome]])</f>
        <v>Aegon Hornwood</v>
      </c>
      <c r="C44" s="30" t="s">
        <v>768</v>
      </c>
      <c r="D44" s="3">
        <v>45</v>
      </c>
      <c r="E44" s="5">
        <v>29506</v>
      </c>
      <c r="F44" s="27" t="s">
        <v>243</v>
      </c>
      <c r="G44" s="27" t="s">
        <v>22</v>
      </c>
      <c r="H44" s="6">
        <v>5100</v>
      </c>
      <c r="I44" s="6">
        <v>25000</v>
      </c>
      <c r="J44" s="23" t="s">
        <v>38</v>
      </c>
      <c r="K44" s="3">
        <v>29</v>
      </c>
      <c r="L44" s="27" t="str">
        <f>IF(OR(J44="Sim",M44="Sim",I44/H44&gt;=2,N44/H44&gt;=5),"Alto",IF(OR(I44/H44&gt;=1,N44/H44&gt;=3,K44&gt;=30),"Médio","Baixo"))</f>
        <v>Alto</v>
      </c>
      <c r="M44" s="23" t="s">
        <v>38</v>
      </c>
      <c r="N44" s="29">
        <v>88000</v>
      </c>
    </row>
    <row r="45" spans="1:14" ht="15.75">
      <c r="A45" s="27" t="s">
        <v>19</v>
      </c>
      <c r="B45" s="27" t="str">
        <f ca="1">PROPER(Tabela1[[#This Row],[nome]])</f>
        <v>Jorah Redwyne</v>
      </c>
      <c r="C45" s="30" t="s">
        <v>768</v>
      </c>
      <c r="D45" s="3">
        <v>48</v>
      </c>
      <c r="E45" s="5">
        <v>28663</v>
      </c>
      <c r="F45" s="27" t="s">
        <v>163</v>
      </c>
      <c r="G45" s="27" t="s">
        <v>27</v>
      </c>
      <c r="H45" s="6">
        <v>24700</v>
      </c>
      <c r="I45" s="6">
        <v>30500</v>
      </c>
      <c r="J45" s="23" t="s">
        <v>38</v>
      </c>
      <c r="K45" s="3">
        <v>34</v>
      </c>
      <c r="L45" s="27" t="str">
        <f>IF(OR(J45="Sim",M45="Sim",I45/H45&gt;=2,N45/H45&gt;=5),"Alto",IF(OR(I45/H45&gt;=1,N45/H45&gt;=3,K45&gt;=30),"Médio","Baixo"))</f>
        <v>Médio</v>
      </c>
      <c r="M45" s="23" t="s">
        <v>38</v>
      </c>
      <c r="N45" s="29">
        <v>87500</v>
      </c>
    </row>
    <row r="46" spans="1:14" ht="15.75">
      <c r="A46" s="27" t="s">
        <v>13</v>
      </c>
      <c r="B46" s="27" t="str">
        <f ca="1">PROPER(Tabela1[[#This Row],[nome]])</f>
        <v>Robb Baratheon</v>
      </c>
      <c r="C46" s="30" t="s">
        <v>68</v>
      </c>
      <c r="D46" s="3">
        <v>54</v>
      </c>
      <c r="E46" s="5">
        <v>26382</v>
      </c>
      <c r="F46" s="27" t="s">
        <v>21</v>
      </c>
      <c r="G46" s="27" t="s">
        <v>22</v>
      </c>
      <c r="H46" s="6">
        <v>22100</v>
      </c>
      <c r="I46" s="6">
        <v>37000</v>
      </c>
      <c r="J46" s="23" t="s">
        <v>38</v>
      </c>
      <c r="K46" s="3">
        <v>34</v>
      </c>
      <c r="L46" s="27" t="str">
        <f>IF(OR(J46="Sim",M46="Sim",I46/H46&gt;=2,N46/H46&gt;=5),"Alto",IF(OR(I46/H46&gt;=1,N46/H46&gt;=3,K46&gt;=30),"Médio","Baixo"))</f>
        <v>Médio</v>
      </c>
      <c r="M46" s="23" t="s">
        <v>38</v>
      </c>
      <c r="N46" s="29">
        <v>87000</v>
      </c>
    </row>
    <row r="47" spans="1:14" ht="15.75">
      <c r="A47" s="27" t="s">
        <v>19</v>
      </c>
      <c r="B47" s="27" t="str">
        <f ca="1">PROPER(Tabela1[[#This Row],[nome]])</f>
        <v>Viserys Florent</v>
      </c>
      <c r="C47" s="30" t="s">
        <v>289</v>
      </c>
      <c r="D47" s="3">
        <v>59</v>
      </c>
      <c r="E47" s="5">
        <v>24554</v>
      </c>
      <c r="F47" s="27" t="s">
        <v>59</v>
      </c>
      <c r="G47" s="27" t="s">
        <v>60</v>
      </c>
      <c r="H47" s="6">
        <v>15200</v>
      </c>
      <c r="I47" s="6">
        <v>11000</v>
      </c>
      <c r="J47" s="23" t="s">
        <v>38</v>
      </c>
      <c r="K47" s="3">
        <v>27</v>
      </c>
      <c r="L47" s="27" t="str">
        <f>IF(OR(J47="Sim",M47="Sim",I47/H47&gt;=2,N47/H47&gt;=5),"Alto",IF(OR(I47/H47&gt;=1,N47/H47&gt;=3,K47&gt;=30),"Médio","Baixo"))</f>
        <v>Alto</v>
      </c>
      <c r="M47" s="23" t="s">
        <v>38</v>
      </c>
      <c r="N47" s="29">
        <v>87000</v>
      </c>
    </row>
    <row r="48" spans="1:14" ht="15.75">
      <c r="A48" s="27" t="s">
        <v>13</v>
      </c>
      <c r="B48" s="27" t="str">
        <f ca="1">PROPER(Tabela1[[#This Row],[nome]])</f>
        <v>Tyrion Snow</v>
      </c>
      <c r="C48" s="30" t="s">
        <v>768</v>
      </c>
      <c r="D48" s="3">
        <v>71</v>
      </c>
      <c r="E48" s="5">
        <v>20094</v>
      </c>
      <c r="F48" s="27" t="s">
        <v>155</v>
      </c>
      <c r="G48" s="27" t="s">
        <v>87</v>
      </c>
      <c r="H48" s="6">
        <v>24100</v>
      </c>
      <c r="I48" s="8">
        <v>0</v>
      </c>
      <c r="J48" s="23" t="s">
        <v>38</v>
      </c>
      <c r="K48" s="3">
        <v>10</v>
      </c>
      <c r="L48" s="27" t="str">
        <f>IF(OR(J48="Sim",M48="Sim",I48/H48&gt;=2,N48/H48&gt;=5),"Alto",IF(OR(I48/H48&gt;=1,N48/H48&gt;=3,K48&gt;=30),"Médio","Baixo"))</f>
        <v>Médio</v>
      </c>
      <c r="M48" s="23" t="s">
        <v>38</v>
      </c>
      <c r="N48" s="29">
        <v>87000</v>
      </c>
    </row>
    <row r="49" spans="1:14" ht="15.75">
      <c r="A49" s="27" t="s">
        <v>19</v>
      </c>
      <c r="B49" s="27" t="str">
        <f ca="1">PROPER(Tabela1[[#This Row],[nome]])</f>
        <v>Eddard Westerling</v>
      </c>
      <c r="C49" s="30" t="s">
        <v>360</v>
      </c>
      <c r="D49" s="3">
        <v>52</v>
      </c>
      <c r="E49" s="5">
        <v>27186</v>
      </c>
      <c r="F49" s="27" t="s">
        <v>21</v>
      </c>
      <c r="G49" s="27" t="s">
        <v>22</v>
      </c>
      <c r="H49" s="6">
        <v>6400</v>
      </c>
      <c r="I49" s="6">
        <v>37000</v>
      </c>
      <c r="J49" s="23" t="s">
        <v>38</v>
      </c>
      <c r="K49" s="3">
        <v>1</v>
      </c>
      <c r="L49" s="27" t="str">
        <f>IF(OR(J49="Sim",M49="Sim",I49/H49&gt;=2,N49/H49&gt;=5),"Alto",IF(OR(I49/H49&gt;=1,N49/H49&gt;=3,K49&gt;=30),"Médio","Baixo"))</f>
        <v>Alto</v>
      </c>
      <c r="M49" s="23" t="s">
        <v>38</v>
      </c>
      <c r="N49" s="29">
        <v>87000</v>
      </c>
    </row>
    <row r="50" spans="1:14" ht="15.75">
      <c r="A50" s="27" t="s">
        <v>13</v>
      </c>
      <c r="B50" s="27" t="str">
        <f ca="1">PROPER(Tabela1[[#This Row],[nome]])</f>
        <v>Catelyn Tarly</v>
      </c>
      <c r="C50" s="30" t="s">
        <v>768</v>
      </c>
      <c r="D50" s="3">
        <v>27</v>
      </c>
      <c r="E50" s="5">
        <v>36255</v>
      </c>
      <c r="F50" s="27" t="s">
        <v>79</v>
      </c>
      <c r="G50" s="27" t="s">
        <v>80</v>
      </c>
      <c r="H50" s="6">
        <v>14000</v>
      </c>
      <c r="I50" s="6">
        <v>63500</v>
      </c>
      <c r="J50" s="23" t="s">
        <v>38</v>
      </c>
      <c r="K50" s="3">
        <v>24</v>
      </c>
      <c r="L50" s="27" t="str">
        <f>IF(OR(J50="Sim",M50="Sim",I50/H50&gt;=2,N50/H50&gt;=5),"Alto",IF(OR(I50/H50&gt;=1,N50/H50&gt;=3,K50&gt;=30),"Médio","Baixo"))</f>
        <v>Alto</v>
      </c>
      <c r="M50" s="23" t="s">
        <v>38</v>
      </c>
      <c r="N50" s="29">
        <v>87000</v>
      </c>
    </row>
    <row r="51" spans="1:14" ht="15.75">
      <c r="A51" s="27" t="s">
        <v>19</v>
      </c>
      <c r="B51" s="27" t="str">
        <f ca="1">PROPER(Tabela1[[#This Row],[nome]])</f>
        <v>Asha Arryn</v>
      </c>
      <c r="C51" s="30" t="s">
        <v>456</v>
      </c>
      <c r="D51" s="3">
        <v>49</v>
      </c>
      <c r="E51" s="5">
        <v>28049</v>
      </c>
      <c r="F51" s="27" t="s">
        <v>79</v>
      </c>
      <c r="G51" s="27" t="s">
        <v>80</v>
      </c>
      <c r="H51" s="6">
        <v>25200</v>
      </c>
      <c r="I51" s="6">
        <v>59500</v>
      </c>
      <c r="J51" s="23" t="s">
        <v>38</v>
      </c>
      <c r="K51" s="3">
        <v>37</v>
      </c>
      <c r="L51" s="27" t="str">
        <f>IF(OR(J51="Sim",M51="Sim",I51/H51&gt;=2,N51/H51&gt;=5),"Alto",IF(OR(I51/H51&gt;=1,N51/H51&gt;=3,K51&gt;=30),"Médio","Baixo"))</f>
        <v>Alto</v>
      </c>
      <c r="M51" s="23" t="s">
        <v>38</v>
      </c>
      <c r="N51" s="29">
        <v>86500</v>
      </c>
    </row>
    <row r="52" spans="1:14" ht="15.75">
      <c r="A52" s="27" t="s">
        <v>13</v>
      </c>
      <c r="B52" s="27" t="str">
        <f ca="1">PROPER(Tabela1[[#This Row],[nome]])</f>
        <v>Thoros Karstark</v>
      </c>
      <c r="C52" s="30" t="s">
        <v>396</v>
      </c>
      <c r="D52" s="3">
        <v>53</v>
      </c>
      <c r="E52" s="5">
        <v>26631</v>
      </c>
      <c r="F52" s="27" t="s">
        <v>183</v>
      </c>
      <c r="G52" s="27" t="s">
        <v>397</v>
      </c>
      <c r="H52" s="6">
        <v>22700</v>
      </c>
      <c r="I52" s="6">
        <v>42500</v>
      </c>
      <c r="J52" s="23" t="s">
        <v>18</v>
      </c>
      <c r="K52" s="3">
        <v>25</v>
      </c>
      <c r="L52" s="27" t="str">
        <f>IF(OR(J52="Sim",M52="Sim",I52/H52&gt;=2,N52/H52&gt;=5),"Alto",IF(OR(I52/H52&gt;=1,N52/H52&gt;=3,K52&gt;=30),"Médio","Baixo"))</f>
        <v>Alto</v>
      </c>
      <c r="M52" s="23" t="s">
        <v>18</v>
      </c>
      <c r="N52" s="29">
        <v>86000</v>
      </c>
    </row>
    <row r="53" spans="1:14" ht="15.75">
      <c r="A53" s="27" t="s">
        <v>13</v>
      </c>
      <c r="B53" s="27" t="str">
        <f ca="1">PROPER(Tabela1[[#This Row],[nome]])</f>
        <v>Gendry Hightower</v>
      </c>
      <c r="C53" s="30" t="s">
        <v>318</v>
      </c>
      <c r="D53" s="3">
        <v>26</v>
      </c>
      <c r="E53" s="5">
        <v>36475</v>
      </c>
      <c r="F53" s="27" t="s">
        <v>107</v>
      </c>
      <c r="G53" s="27" t="s">
        <v>77</v>
      </c>
      <c r="H53" s="6">
        <v>13900</v>
      </c>
      <c r="I53" s="6">
        <v>53500</v>
      </c>
      <c r="J53" s="23" t="s">
        <v>38</v>
      </c>
      <c r="K53" s="3">
        <v>12</v>
      </c>
      <c r="L53" s="27" t="str">
        <f>IF(OR(J53="Sim",M53="Sim",I53/H53&gt;=2,N53/H53&gt;=5),"Alto",IF(OR(I53/H53&gt;=1,N53/H53&gt;=3,K53&gt;=30),"Médio","Baixo"))</f>
        <v>Alto</v>
      </c>
      <c r="M53" s="23" t="s">
        <v>38</v>
      </c>
      <c r="N53" s="29">
        <v>85000</v>
      </c>
    </row>
    <row r="54" spans="1:14" ht="15.75">
      <c r="A54" s="27" t="s">
        <v>13</v>
      </c>
      <c r="B54" s="27" t="str">
        <f ca="1">PROPER(Tabela1[[#This Row],[nome]])</f>
        <v>Missandei Florent</v>
      </c>
      <c r="C54" s="30" t="s">
        <v>345</v>
      </c>
      <c r="D54" s="3">
        <v>56</v>
      </c>
      <c r="E54" s="5">
        <v>25671</v>
      </c>
      <c r="F54" s="27" t="s">
        <v>107</v>
      </c>
      <c r="G54" s="27" t="s">
        <v>77</v>
      </c>
      <c r="H54" s="6">
        <v>28300</v>
      </c>
      <c r="I54" s="6">
        <v>56000</v>
      </c>
      <c r="J54" s="23" t="s">
        <v>38</v>
      </c>
      <c r="K54" s="3">
        <v>6</v>
      </c>
      <c r="L54" s="27" t="str">
        <f>IF(OR(J54="Sim",M54="Sim",I54/H54&gt;=2,N54/H54&gt;=5),"Alto",IF(OR(I54/H54&gt;=1,N54/H54&gt;=3,K54&gt;=30),"Médio","Baixo"))</f>
        <v>Médio</v>
      </c>
      <c r="M54" s="23" t="s">
        <v>38</v>
      </c>
      <c r="N54" s="29">
        <v>84500</v>
      </c>
    </row>
    <row r="55" spans="1:14" ht="15.75">
      <c r="A55" s="27" t="s">
        <v>19</v>
      </c>
      <c r="B55" s="27" t="str">
        <f ca="1">PROPER(Tabela1[[#This Row],[nome]])</f>
        <v>Loras Baelish</v>
      </c>
      <c r="C55" s="30" t="s">
        <v>287</v>
      </c>
      <c r="D55" s="3">
        <v>68</v>
      </c>
      <c r="E55" s="5">
        <v>21205</v>
      </c>
      <c r="F55" s="27" t="s">
        <v>111</v>
      </c>
      <c r="G55" s="27" t="s">
        <v>87</v>
      </c>
      <c r="H55" s="6">
        <v>8200</v>
      </c>
      <c r="I55" s="6">
        <v>66000</v>
      </c>
      <c r="J55" s="23" t="s">
        <v>38</v>
      </c>
      <c r="K55" s="3">
        <v>16</v>
      </c>
      <c r="L55" s="27" t="str">
        <f>IF(OR(J55="Sim",M55="Sim",I55/H55&gt;=2,N55/H55&gt;=5),"Alto",IF(OR(I55/H55&gt;=1,N55/H55&gt;=3,K55&gt;=30),"Médio","Baixo"))</f>
        <v>Alto</v>
      </c>
      <c r="M55" s="23" t="s">
        <v>38</v>
      </c>
      <c r="N55" s="29">
        <v>84000</v>
      </c>
    </row>
    <row r="56" spans="1:14" ht="15.75">
      <c r="A56" s="27"/>
      <c r="B56" s="27" t="str">
        <f ca="1">PROPER(Tabela1[[#This Row],[nome]])</f>
        <v>Meera Payne</v>
      </c>
      <c r="C56" s="30" t="s">
        <v>139</v>
      </c>
      <c r="D56" s="3">
        <v>63</v>
      </c>
      <c r="E56" s="5">
        <v>22974</v>
      </c>
      <c r="F56" s="27" t="s">
        <v>122</v>
      </c>
      <c r="G56" s="27" t="s">
        <v>122</v>
      </c>
      <c r="H56" s="6">
        <v>14700</v>
      </c>
      <c r="I56" s="8">
        <v>0</v>
      </c>
      <c r="J56" s="23" t="s">
        <v>18</v>
      </c>
      <c r="K56" s="3">
        <v>40</v>
      </c>
      <c r="L56" s="27" t="str">
        <f>IF(OR(J56="Sim",M56="Sim",I56/H56&gt;=2,N56/H56&gt;=5),"Alto",IF(OR(I56/H56&gt;=1,N56/H56&gt;=3,K56&gt;=30),"Médio","Baixo"))</f>
        <v>Alto</v>
      </c>
      <c r="M56" s="23" t="s">
        <v>18</v>
      </c>
      <c r="N56" s="29">
        <v>83500</v>
      </c>
    </row>
    <row r="57" spans="1:14" ht="15.75">
      <c r="A57" s="27" t="s">
        <v>13</v>
      </c>
      <c r="B57" s="27" t="str">
        <f ca="1">PROPER(Tabela1[[#This Row],[nome]])</f>
        <v>Asha Redwyne</v>
      </c>
      <c r="C57" s="30" t="s">
        <v>768</v>
      </c>
      <c r="D57" s="3">
        <v>35</v>
      </c>
      <c r="E57" s="5">
        <v>33444</v>
      </c>
      <c r="F57" s="27" t="s">
        <v>26</v>
      </c>
      <c r="G57" s="27" t="s">
        <v>27</v>
      </c>
      <c r="H57" s="6">
        <v>8400</v>
      </c>
      <c r="I57" s="6">
        <v>62500</v>
      </c>
      <c r="J57" s="23" t="s">
        <v>38</v>
      </c>
      <c r="K57" s="3">
        <v>31</v>
      </c>
      <c r="L57" s="27" t="str">
        <f>IF(OR(J57="Sim",M57="Sim",I57/H57&gt;=2,N57/H57&gt;=5),"Alto",IF(OR(I57/H57&gt;=1,N57/H57&gt;=3,K57&gt;=30),"Médio","Baixo"))</f>
        <v>Alto</v>
      </c>
      <c r="M57" s="23" t="s">
        <v>38</v>
      </c>
      <c r="N57" s="29">
        <v>83500</v>
      </c>
    </row>
    <row r="58" spans="1:14" ht="15.75">
      <c r="A58" s="27" t="s">
        <v>13</v>
      </c>
      <c r="B58" s="27" t="str">
        <f ca="1">PROPER(Tabela1[[#This Row],[nome]])</f>
        <v>Catelyn Mallister</v>
      </c>
      <c r="C58" s="30" t="s">
        <v>641</v>
      </c>
      <c r="D58" s="3">
        <v>63</v>
      </c>
      <c r="E58" s="5">
        <v>23006</v>
      </c>
      <c r="F58" s="27" t="s">
        <v>79</v>
      </c>
      <c r="G58" s="27" t="s">
        <v>80</v>
      </c>
      <c r="H58" s="6">
        <v>11200</v>
      </c>
      <c r="I58" s="6" t="s">
        <v>768</v>
      </c>
      <c r="J58" s="23" t="s">
        <v>768</v>
      </c>
      <c r="K58" s="3">
        <v>41</v>
      </c>
      <c r="L58" s="27" t="s">
        <v>769</v>
      </c>
      <c r="M58" s="23" t="s">
        <v>768</v>
      </c>
      <c r="N58" s="29">
        <v>83500</v>
      </c>
    </row>
    <row r="59" spans="1:14" ht="15.75">
      <c r="A59" s="27" t="s">
        <v>19</v>
      </c>
      <c r="B59" s="27" t="str">
        <f ca="1">PROPER(Tabela1[[#This Row],[nome]])</f>
        <v>Jaime Bracken</v>
      </c>
      <c r="C59" s="30" t="s">
        <v>768</v>
      </c>
      <c r="D59" s="3">
        <v>35</v>
      </c>
      <c r="E59" s="5">
        <v>33417</v>
      </c>
      <c r="F59" s="27" t="s">
        <v>111</v>
      </c>
      <c r="G59" s="27" t="s">
        <v>87</v>
      </c>
      <c r="H59" s="6">
        <v>12400</v>
      </c>
      <c r="I59" s="8">
        <v>0</v>
      </c>
      <c r="J59" s="23" t="s">
        <v>38</v>
      </c>
      <c r="K59" s="3">
        <v>3</v>
      </c>
      <c r="L59" s="27" t="str">
        <f>IF(OR(J59="Sim",M59="Sim",I59/H59&gt;=2,N59/H59&gt;=5),"Alto",IF(OR(I59/H59&gt;=1,N59/H59&gt;=3,K59&gt;=30),"Médio","Baixo"))</f>
        <v>Alto</v>
      </c>
      <c r="M59" s="23" t="s">
        <v>38</v>
      </c>
      <c r="N59" s="29">
        <v>83500</v>
      </c>
    </row>
    <row r="60" spans="1:14" ht="15.75">
      <c r="A60" s="27" t="s">
        <v>13</v>
      </c>
      <c r="B60" s="27" t="str">
        <f ca="1">PROPER(Tabela1[[#This Row],[nome]])</f>
        <v>Thoros Payne</v>
      </c>
      <c r="C60" s="30" t="s">
        <v>768</v>
      </c>
      <c r="D60" s="3">
        <f ca="1">INT((TODAY()-E60)/365)</f>
        <v>40</v>
      </c>
      <c r="E60" s="5">
        <v>31337</v>
      </c>
      <c r="F60" s="27" t="s">
        <v>107</v>
      </c>
      <c r="G60" s="27" t="s">
        <v>77</v>
      </c>
      <c r="H60" s="6">
        <v>14000</v>
      </c>
      <c r="I60" s="8">
        <v>0</v>
      </c>
      <c r="J60" s="23" t="s">
        <v>38</v>
      </c>
      <c r="K60" s="3">
        <v>24</v>
      </c>
      <c r="L60" s="27" t="str">
        <f>IF(OR(J60="Sim",M60="Sim",I60/H60&gt;=2,N60/H60&gt;=5),"Alto",IF(OR(I60/H60&gt;=1,N60/H60&gt;=3,K60&gt;=30),"Médio","Baixo"))</f>
        <v>Alto</v>
      </c>
      <c r="M60" s="23" t="s">
        <v>38</v>
      </c>
      <c r="N60" s="29">
        <v>82000</v>
      </c>
    </row>
    <row r="61" spans="1:14" ht="15.75">
      <c r="A61" s="27" t="s">
        <v>13</v>
      </c>
      <c r="B61" s="27" t="str">
        <f ca="1">PROPER(Tabela1[[#This Row],[nome]])</f>
        <v>Brienne Karstark</v>
      </c>
      <c r="C61" s="30" t="s">
        <v>475</v>
      </c>
      <c r="D61" s="3">
        <v>23</v>
      </c>
      <c r="E61" s="5">
        <v>37530</v>
      </c>
      <c r="F61" s="27" t="s">
        <v>50</v>
      </c>
      <c r="G61" s="27" t="s">
        <v>70</v>
      </c>
      <c r="H61" s="6">
        <v>10700</v>
      </c>
      <c r="I61" s="6">
        <v>15000</v>
      </c>
      <c r="J61" s="23" t="s">
        <v>38</v>
      </c>
      <c r="K61" s="3">
        <v>42</v>
      </c>
      <c r="L61" s="27" t="str">
        <f>IF(OR(J61="Sim",M61="Sim",I61/H61&gt;=2,N61/H61&gt;=5),"Alto",IF(OR(I61/H61&gt;=1,N61/H61&gt;=3,K61&gt;=30),"Médio","Baixo"))</f>
        <v>Alto</v>
      </c>
      <c r="M61" s="23" t="s">
        <v>38</v>
      </c>
      <c r="N61" s="29">
        <v>81500</v>
      </c>
    </row>
    <row r="62" spans="1:14" ht="15.75">
      <c r="A62" s="27" t="s">
        <v>19</v>
      </c>
      <c r="B62" s="27" t="str">
        <f ca="1">PROPER(Tabela1[[#This Row],[nome]])</f>
        <v>Cersei  Marbrand</v>
      </c>
      <c r="C62" s="30" t="s">
        <v>538</v>
      </c>
      <c r="D62" s="3">
        <v>57</v>
      </c>
      <c r="E62" s="5">
        <v>25324</v>
      </c>
      <c r="F62" s="27" t="s">
        <v>92</v>
      </c>
      <c r="G62" s="27" t="s">
        <v>80</v>
      </c>
      <c r="H62" s="6">
        <v>9500</v>
      </c>
      <c r="I62" s="6">
        <v>58000</v>
      </c>
      <c r="J62" s="23" t="s">
        <v>38</v>
      </c>
      <c r="K62" s="3">
        <v>23</v>
      </c>
      <c r="L62" s="27" t="str">
        <f>IF(OR(J62="Sim",M62="Sim",I62/H62&gt;=2,N62/H62&gt;=5),"Alto",IF(OR(I62/H62&gt;=1,N62/H62&gt;=3,K62&gt;=30),"Médio","Baixo"))</f>
        <v>Alto</v>
      </c>
      <c r="M62" s="23" t="s">
        <v>38</v>
      </c>
      <c r="N62" s="29">
        <v>81500</v>
      </c>
    </row>
    <row r="63" spans="1:14" ht="15.75">
      <c r="A63" s="27" t="s">
        <v>13</v>
      </c>
      <c r="B63" s="27" t="str">
        <f ca="1">PROPER(Tabela1[[#This Row],[nome]])</f>
        <v>Tormund Karstark</v>
      </c>
      <c r="C63" s="30" t="s">
        <v>169</v>
      </c>
      <c r="D63" s="3">
        <v>42</v>
      </c>
      <c r="E63" s="5">
        <v>30662</v>
      </c>
      <c r="F63" s="27" t="s">
        <v>79</v>
      </c>
      <c r="G63" s="27" t="s">
        <v>80</v>
      </c>
      <c r="H63" s="6">
        <v>20400</v>
      </c>
      <c r="I63" s="8">
        <v>0</v>
      </c>
      <c r="J63" s="23" t="s">
        <v>38</v>
      </c>
      <c r="K63" s="3">
        <v>0</v>
      </c>
      <c r="L63" s="27" t="str">
        <f>IF(OR(J63="Sim",M63="Sim",I63/H63&gt;=2,N63/H63&gt;=5),"Alto",IF(OR(I63/H63&gt;=1,N63/H63&gt;=3,K63&gt;=30),"Médio","Baixo"))</f>
        <v>Médio</v>
      </c>
      <c r="M63" s="23" t="s">
        <v>38</v>
      </c>
      <c r="N63" s="29">
        <v>81000</v>
      </c>
    </row>
    <row r="64" spans="1:14" ht="15.75">
      <c r="A64" s="27" t="s">
        <v>13</v>
      </c>
      <c r="B64" s="27" t="str">
        <f ca="1">PROPER(Tabela1[[#This Row],[nome]])</f>
        <v>Daario Clegane</v>
      </c>
      <c r="C64" s="30" t="s">
        <v>190</v>
      </c>
      <c r="D64" s="3">
        <v>33</v>
      </c>
      <c r="E64" s="5">
        <v>33881</v>
      </c>
      <c r="F64" s="27" t="s">
        <v>79</v>
      </c>
      <c r="G64" s="27" t="s">
        <v>80</v>
      </c>
      <c r="H64" s="6">
        <v>29700</v>
      </c>
      <c r="I64" s="6">
        <v>22000</v>
      </c>
      <c r="J64" s="23" t="s">
        <v>38</v>
      </c>
      <c r="K64" s="3">
        <v>38</v>
      </c>
      <c r="L64" s="27" t="str">
        <f>IF(OR(J64="Sim",M64="Sim",I64/H64&gt;=2,N64/H64&gt;=5),"Alto",IF(OR(I64/H64&gt;=1,N64/H64&gt;=3,K64&gt;=30),"Médio","Baixo"))</f>
        <v>Médio</v>
      </c>
      <c r="M64" s="23" t="s">
        <v>38</v>
      </c>
      <c r="N64" s="29">
        <v>81000</v>
      </c>
    </row>
    <row r="65" spans="1:14" ht="15.75">
      <c r="A65" s="27" t="s">
        <v>13</v>
      </c>
      <c r="B65" s="27" t="str">
        <f ca="1">PROPER(Tabela1[[#This Row],[nome]])</f>
        <v>Ellaria Martell</v>
      </c>
      <c r="C65" s="30" t="s">
        <v>399</v>
      </c>
      <c r="D65" s="3">
        <v>48</v>
      </c>
      <c r="E65" s="5">
        <v>28673</v>
      </c>
      <c r="F65" s="27" t="s">
        <v>183</v>
      </c>
      <c r="G65" s="27" t="s">
        <v>397</v>
      </c>
      <c r="H65" s="6">
        <v>2300</v>
      </c>
      <c r="I65" s="6">
        <v>26500</v>
      </c>
      <c r="J65" s="23" t="s">
        <v>38</v>
      </c>
      <c r="K65" s="3">
        <v>44</v>
      </c>
      <c r="L65" s="27" t="str">
        <f>IF(OR(J65="Sim",M65="Sim",I65/H65&gt;=2,N65/H65&gt;=5),"Alto",IF(OR(I65/H65&gt;=1,N65/H65&gt;=3,K65&gt;=30),"Médio","Baixo"))</f>
        <v>Alto</v>
      </c>
      <c r="M65" s="23" t="s">
        <v>38</v>
      </c>
      <c r="N65" s="29">
        <v>81000</v>
      </c>
    </row>
    <row r="66" spans="1:14" ht="15.75">
      <c r="A66" s="27" t="s">
        <v>13</v>
      </c>
      <c r="B66" s="27" t="str">
        <f ca="1">PROPER(Tabela1[[#This Row],[nome]])</f>
        <v>Rhaegar Dayne</v>
      </c>
      <c r="C66" s="30" t="s">
        <v>519</v>
      </c>
      <c r="D66" s="3">
        <v>35</v>
      </c>
      <c r="E66" s="5">
        <v>33309</v>
      </c>
      <c r="F66" s="27" t="s">
        <v>76</v>
      </c>
      <c r="G66" s="27" t="s">
        <v>77</v>
      </c>
      <c r="H66" s="6">
        <v>28500</v>
      </c>
      <c r="I66" s="6">
        <v>48500</v>
      </c>
      <c r="J66" s="23" t="s">
        <v>38</v>
      </c>
      <c r="K66" s="3">
        <v>24</v>
      </c>
      <c r="L66" s="27" t="str">
        <f>IF(OR(J66="Sim",M66="Sim",I66/H66&gt;=2,N66/H66&gt;=5),"Alto",IF(OR(I66/H66&gt;=1,N66/H66&gt;=3,K66&gt;=30),"Médio","Baixo"))</f>
        <v>Médio</v>
      </c>
      <c r="M66" s="23" t="s">
        <v>38</v>
      </c>
      <c r="N66" s="29">
        <v>80500</v>
      </c>
    </row>
    <row r="67" spans="1:14" ht="15.75">
      <c r="A67" s="27" t="s">
        <v>19</v>
      </c>
      <c r="B67" s="27" t="str">
        <f ca="1">PROPER(Tabela1[[#This Row],[nome]])</f>
        <v>Cersei Glover</v>
      </c>
      <c r="C67" s="30" t="s">
        <v>589</v>
      </c>
      <c r="D67" s="3">
        <v>49</v>
      </c>
      <c r="E67" s="5">
        <v>28286</v>
      </c>
      <c r="F67" s="27" t="s">
        <v>50</v>
      </c>
      <c r="G67" s="27" t="s">
        <v>70</v>
      </c>
      <c r="H67" s="6">
        <v>21900</v>
      </c>
      <c r="I67" s="6">
        <v>69000</v>
      </c>
      <c r="J67" s="23" t="s">
        <v>38</v>
      </c>
      <c r="K67" s="3">
        <v>4</v>
      </c>
      <c r="L67" s="27" t="str">
        <f>IF(OR(J67="Sim",M67="Sim",I67/H67&gt;=2,N67/H67&gt;=5),"Alto",IF(OR(I67/H67&gt;=1,N67/H67&gt;=3,K67&gt;=30),"Médio","Baixo"))</f>
        <v>Alto</v>
      </c>
      <c r="M67" s="23" t="s">
        <v>38</v>
      </c>
      <c r="N67" s="29">
        <v>80500</v>
      </c>
    </row>
    <row r="68" spans="1:14" ht="15.75">
      <c r="A68" s="27" t="s">
        <v>13</v>
      </c>
      <c r="B68" s="27" t="str">
        <f ca="1">PROPER(Tabela1[[#This Row],[nome]])</f>
        <v>Missandei  Tarly</v>
      </c>
      <c r="C68" s="30" t="s">
        <v>298</v>
      </c>
      <c r="D68" s="3">
        <v>58</v>
      </c>
      <c r="E68" s="5">
        <v>24905</v>
      </c>
      <c r="F68" s="27" t="s">
        <v>59</v>
      </c>
      <c r="G68" s="27" t="s">
        <v>60</v>
      </c>
      <c r="H68" s="6">
        <v>12400</v>
      </c>
      <c r="I68" s="6">
        <v>21500</v>
      </c>
      <c r="J68" s="23" t="s">
        <v>18</v>
      </c>
      <c r="K68" s="3">
        <v>24</v>
      </c>
      <c r="L68" s="27" t="str">
        <f>IF(OR(J68="Sim",M68="Sim",I68/H68&gt;=2,N68/H68&gt;=5),"Alto",IF(OR(I68/H68&gt;=1,N68/H68&gt;=3,K68&gt;=30),"Médio","Baixo"))</f>
        <v>Alto</v>
      </c>
      <c r="M68" s="23" t="s">
        <v>18</v>
      </c>
      <c r="N68" s="29">
        <v>80000</v>
      </c>
    </row>
    <row r="69" spans="1:14" ht="15.75">
      <c r="A69" s="27" t="s">
        <v>19</v>
      </c>
      <c r="B69" s="27" t="str">
        <f ca="1">PROPER(Tabela1[[#This Row],[nome]])</f>
        <v>Beric Tallhart</v>
      </c>
      <c r="C69" s="30" t="s">
        <v>420</v>
      </c>
      <c r="D69" s="3">
        <v>44</v>
      </c>
      <c r="E69" s="5">
        <v>29948</v>
      </c>
      <c r="F69" s="27" t="s">
        <v>122</v>
      </c>
      <c r="G69" s="27" t="s">
        <v>122</v>
      </c>
      <c r="H69" s="8" t="s">
        <v>768</v>
      </c>
      <c r="I69" s="8">
        <v>0</v>
      </c>
      <c r="J69" s="23" t="s">
        <v>38</v>
      </c>
      <c r="K69" s="3">
        <v>4</v>
      </c>
      <c r="L69" s="27" t="s">
        <v>770</v>
      </c>
      <c r="M69" s="23" t="s">
        <v>38</v>
      </c>
      <c r="N69" s="29">
        <v>80000</v>
      </c>
    </row>
    <row r="70" spans="1:14" ht="15.75">
      <c r="A70" s="27" t="s">
        <v>13</v>
      </c>
      <c r="B70" s="27" t="str">
        <f ca="1">PROPER(Tabela1[[#This Row],[nome]])</f>
        <v>Robert Cerwyn</v>
      </c>
      <c r="C70" s="30" t="s">
        <v>768</v>
      </c>
      <c r="D70" s="3">
        <v>48</v>
      </c>
      <c r="E70" s="5">
        <v>28509</v>
      </c>
      <c r="F70" s="27" t="s">
        <v>107</v>
      </c>
      <c r="G70" s="27" t="s">
        <v>77</v>
      </c>
      <c r="H70" s="6">
        <v>17800</v>
      </c>
      <c r="I70" s="6">
        <v>9000</v>
      </c>
      <c r="J70" s="23" t="s">
        <v>38</v>
      </c>
      <c r="K70" s="3">
        <v>28</v>
      </c>
      <c r="L70" s="27" t="str">
        <f>IF(OR(J70="Sim",M70="Sim",I70/H70&gt;=2,N70/H70&gt;=5),"Alto",IF(OR(I70/H70&gt;=1,N70/H70&gt;=3,K70&gt;=30),"Médio","Baixo"))</f>
        <v>Médio</v>
      </c>
      <c r="M70" s="23" t="s">
        <v>38</v>
      </c>
      <c r="N70" s="29">
        <v>80000</v>
      </c>
    </row>
    <row r="71" spans="1:14" ht="15.75">
      <c r="A71" s="27" t="s">
        <v>19</v>
      </c>
      <c r="B71" s="27" t="str">
        <f ca="1">PROPER(Tabela1[[#This Row],[nome]])</f>
        <v>Podrick Blackwood</v>
      </c>
      <c r="C71" s="30" t="s">
        <v>768</v>
      </c>
      <c r="D71" s="3">
        <v>31</v>
      </c>
      <c r="E71" s="5">
        <v>34828</v>
      </c>
      <c r="F71" s="27" t="s">
        <v>163</v>
      </c>
      <c r="G71" s="27" t="s">
        <v>27</v>
      </c>
      <c r="H71" s="6">
        <v>24900</v>
      </c>
      <c r="I71" s="6">
        <v>72000</v>
      </c>
      <c r="J71" s="23" t="s">
        <v>38</v>
      </c>
      <c r="K71" s="3">
        <v>35</v>
      </c>
      <c r="L71" s="27" t="str">
        <f>IF(OR(J71="Sim",M71="Sim",I71/H71&gt;=2,N71/H71&gt;=5),"Alto",IF(OR(I71/H71&gt;=1,N71/H71&gt;=3,K71&gt;=30),"Médio","Baixo"))</f>
        <v>Alto</v>
      </c>
      <c r="M71" s="23" t="s">
        <v>38</v>
      </c>
      <c r="N71" s="29">
        <v>79000</v>
      </c>
    </row>
    <row r="72" spans="1:14" ht="15.75">
      <c r="A72" s="27" t="s">
        <v>13</v>
      </c>
      <c r="B72" s="27" t="str">
        <f ca="1">PROPER(Tabela1[[#This Row],[nome]])</f>
        <v>Jojen Dayne</v>
      </c>
      <c r="C72" s="30" t="s">
        <v>712</v>
      </c>
      <c r="D72" s="3">
        <v>69</v>
      </c>
      <c r="E72" s="5"/>
      <c r="F72" s="27" t="s">
        <v>243</v>
      </c>
      <c r="G72" s="27" t="s">
        <v>22</v>
      </c>
      <c r="H72" s="6">
        <v>11400</v>
      </c>
      <c r="I72" s="8">
        <v>0</v>
      </c>
      <c r="J72" s="23" t="s">
        <v>18</v>
      </c>
      <c r="K72" s="3">
        <v>13</v>
      </c>
      <c r="L72" s="27" t="str">
        <f>IF(OR(J72="Sim",M72="Sim",I72/H72&gt;=2,N72/H72&gt;=5),"Alto",IF(OR(I72/H72&gt;=1,N72/H72&gt;=3,K72&gt;=30),"Médio","Baixo"))</f>
        <v>Alto</v>
      </c>
      <c r="M72" s="23" t="s">
        <v>18</v>
      </c>
      <c r="N72" s="29">
        <v>79000</v>
      </c>
    </row>
    <row r="73" spans="1:14" ht="15.75">
      <c r="A73" s="27" t="s">
        <v>13</v>
      </c>
      <c r="B73" s="27" t="str">
        <f ca="1">PROPER(Tabela1[[#This Row],[nome]])</f>
        <v>Jon  Karstark</v>
      </c>
      <c r="C73" s="30" t="s">
        <v>248</v>
      </c>
      <c r="D73" s="3">
        <v>55</v>
      </c>
      <c r="E73" s="5">
        <v>26161</v>
      </c>
      <c r="F73" s="27" t="s">
        <v>111</v>
      </c>
      <c r="G73" s="27" t="s">
        <v>87</v>
      </c>
      <c r="H73" s="6">
        <v>12200</v>
      </c>
      <c r="I73" s="6">
        <v>70500</v>
      </c>
      <c r="J73" s="23" t="s">
        <v>38</v>
      </c>
      <c r="K73" s="3">
        <v>33</v>
      </c>
      <c r="L73" s="27" t="str">
        <f>IF(OR(J73="Sim",M73="Sim",I73/H73&gt;=2,N73/H73&gt;=5),"Alto",IF(OR(I73/H73&gt;=1,N73/H73&gt;=3,K73&gt;=30),"Médio","Baixo"))</f>
        <v>Alto</v>
      </c>
      <c r="M73" s="23" t="s">
        <v>38</v>
      </c>
      <c r="N73" s="29">
        <v>78000</v>
      </c>
    </row>
    <row r="74" spans="1:14" ht="15.75">
      <c r="A74" s="27" t="s">
        <v>13</v>
      </c>
      <c r="B74" s="27" t="str">
        <f ca="1">PROPER(Tabela1[[#This Row],[nome]])</f>
        <v>Daenerys Tallhart</v>
      </c>
      <c r="C74" s="30" t="s">
        <v>231</v>
      </c>
      <c r="D74" s="3">
        <v>37</v>
      </c>
      <c r="E74" s="5">
        <v>32543</v>
      </c>
      <c r="F74" s="27" t="s">
        <v>86</v>
      </c>
      <c r="G74" s="27" t="s">
        <v>87</v>
      </c>
      <c r="H74" s="6">
        <v>29200</v>
      </c>
      <c r="I74" s="6">
        <v>45000</v>
      </c>
      <c r="J74" s="23" t="s">
        <v>38</v>
      </c>
      <c r="K74" s="3">
        <v>26</v>
      </c>
      <c r="L74" s="27" t="str">
        <f>IF(OR(J74="Sim",M74="Sim",I74/H74&gt;=2,N74/H74&gt;=5),"Alto",IF(OR(I74/H74&gt;=1,N74/H74&gt;=3,K74&gt;=30),"Médio","Baixo"))</f>
        <v>Médio</v>
      </c>
      <c r="M74" s="23" t="s">
        <v>38</v>
      </c>
      <c r="N74" s="29">
        <v>78000</v>
      </c>
    </row>
    <row r="75" spans="1:14" ht="15.75">
      <c r="A75" s="27" t="s">
        <v>13</v>
      </c>
      <c r="B75" s="27" t="str">
        <f ca="1">PROPER(Tabela1[[#This Row],[nome]])</f>
        <v>Missandei Florent</v>
      </c>
      <c r="C75" s="30" t="s">
        <v>345</v>
      </c>
      <c r="D75" s="3">
        <v>56</v>
      </c>
      <c r="E75" s="5">
        <v>25671</v>
      </c>
      <c r="F75" s="27" t="s">
        <v>107</v>
      </c>
      <c r="G75" s="27" t="s">
        <v>77</v>
      </c>
      <c r="H75" s="6">
        <v>28300</v>
      </c>
      <c r="I75" s="6">
        <v>56000</v>
      </c>
      <c r="J75" s="23" t="s">
        <v>38</v>
      </c>
      <c r="K75" s="3">
        <v>6</v>
      </c>
      <c r="L75" s="27" t="str">
        <f>IF(OR(J75="Sim",M75="Sim",I75/H75&gt;=2,N75/H75&gt;=5),"Alto",IF(OR(I75/H75&gt;=1,N75/H75&gt;=3,K75&gt;=30),"Médio","Baixo"))</f>
        <v>Médio</v>
      </c>
      <c r="M75" s="23" t="s">
        <v>38</v>
      </c>
      <c r="N75" s="29">
        <v>77000</v>
      </c>
    </row>
    <row r="76" spans="1:14" ht="15.75">
      <c r="A76" s="27" t="s">
        <v>13</v>
      </c>
      <c r="B76" s="27" t="str">
        <f ca="1">PROPER(Tabela1[[#This Row],[nome]])</f>
        <v>Sandor Westerling</v>
      </c>
      <c r="C76" s="30" t="s">
        <v>529</v>
      </c>
      <c r="D76" s="3">
        <v>71</v>
      </c>
      <c r="E76" s="5">
        <v>20000</v>
      </c>
      <c r="F76" s="27" t="s">
        <v>183</v>
      </c>
      <c r="G76" s="27" t="s">
        <v>397</v>
      </c>
      <c r="H76" s="6">
        <v>15100</v>
      </c>
      <c r="I76" s="8" t="s">
        <v>768</v>
      </c>
      <c r="J76" s="23" t="s">
        <v>38</v>
      </c>
      <c r="K76" s="3">
        <v>42</v>
      </c>
      <c r="L76" s="27" t="s">
        <v>769</v>
      </c>
      <c r="M76" s="23" t="s">
        <v>38</v>
      </c>
      <c r="N76" s="29">
        <v>77000</v>
      </c>
    </row>
    <row r="77" spans="1:14" ht="15.75">
      <c r="A77" s="27" t="s">
        <v>19</v>
      </c>
      <c r="B77" s="27" t="str">
        <f ca="1">PROPER(Tabela1[[#This Row],[nome]])</f>
        <v>Cersei Tarth</v>
      </c>
      <c r="C77" s="30" t="s">
        <v>768</v>
      </c>
      <c r="D77" s="3">
        <v>46</v>
      </c>
      <c r="E77" s="5">
        <v>29427</v>
      </c>
      <c r="F77" s="27" t="s">
        <v>107</v>
      </c>
      <c r="G77" s="27" t="s">
        <v>77</v>
      </c>
      <c r="H77" s="8" t="s">
        <v>768</v>
      </c>
      <c r="I77" s="6">
        <v>37500</v>
      </c>
      <c r="J77" s="23" t="s">
        <v>38</v>
      </c>
      <c r="K77" s="3" t="s">
        <v>768</v>
      </c>
      <c r="L77" s="27" t="s">
        <v>770</v>
      </c>
      <c r="M77" s="23" t="s">
        <v>38</v>
      </c>
      <c r="N77" s="29">
        <v>77000</v>
      </c>
    </row>
    <row r="78" spans="1:14" ht="15.75">
      <c r="A78" s="27" t="s">
        <v>19</v>
      </c>
      <c r="B78" s="27" t="str">
        <f ca="1">PROPER(Tabela1[[#This Row],[nome]])</f>
        <v>Renly Dayne</v>
      </c>
      <c r="C78" s="30" t="s">
        <v>269</v>
      </c>
      <c r="D78" s="3">
        <f ca="1">INT((TODAY()-E78)/365)</f>
        <v>72</v>
      </c>
      <c r="E78" s="5">
        <v>19672</v>
      </c>
      <c r="F78" s="27" t="s">
        <v>122</v>
      </c>
      <c r="G78" s="27" t="s">
        <v>122</v>
      </c>
      <c r="H78" s="6">
        <v>21000</v>
      </c>
      <c r="I78" s="8">
        <v>0</v>
      </c>
      <c r="J78" s="23" t="s">
        <v>38</v>
      </c>
      <c r="K78" s="3">
        <v>11</v>
      </c>
      <c r="L78" s="27" t="str">
        <f>IF(OR(J78="Sim",M78="Sim",I78/H78&gt;=2,N78/H78&gt;=5),"Alto",IF(OR(I78/H78&gt;=1,N78/H78&gt;=3,K78&gt;=30),"Médio","Baixo"))</f>
        <v>Médio</v>
      </c>
      <c r="M78" s="23" t="s">
        <v>38</v>
      </c>
      <c r="N78" s="29">
        <v>75500</v>
      </c>
    </row>
    <row r="79" spans="1:14" ht="15.75">
      <c r="A79" s="27" t="s">
        <v>13</v>
      </c>
      <c r="B79" s="27" t="str">
        <f ca="1">PROPER(Tabela1[[#This Row],[nome]])</f>
        <v>Podrick Targaryen</v>
      </c>
      <c r="C79" s="30" t="s">
        <v>145</v>
      </c>
      <c r="D79" s="3">
        <v>39</v>
      </c>
      <c r="E79" s="5">
        <v>31879</v>
      </c>
      <c r="F79" s="27" t="s">
        <v>86</v>
      </c>
      <c r="G79" s="27" t="s">
        <v>87</v>
      </c>
      <c r="H79" s="6">
        <v>29900</v>
      </c>
      <c r="I79" s="8">
        <v>0</v>
      </c>
      <c r="J79" s="23" t="s">
        <v>38</v>
      </c>
      <c r="K79" s="3">
        <v>39</v>
      </c>
      <c r="L79" s="27" t="str">
        <f>IF(OR(J79="Sim",M79="Sim",I79/H79&gt;=2,N79/H79&gt;=5),"Alto",IF(OR(I79/H79&gt;=1,N79/H79&gt;=3,K79&gt;=30),"Médio","Baixo"))</f>
        <v>Médio</v>
      </c>
      <c r="M79" s="23" t="s">
        <v>38</v>
      </c>
      <c r="N79" s="29">
        <v>75000</v>
      </c>
    </row>
    <row r="80" spans="1:14" ht="15.75">
      <c r="A80" s="27" t="s">
        <v>13</v>
      </c>
      <c r="B80" s="27" t="str">
        <f ca="1">PROPER(Tabela1[[#This Row],[nome]])</f>
        <v>Jon Hornwood</v>
      </c>
      <c r="C80" s="30" t="s">
        <v>768</v>
      </c>
      <c r="D80" s="3">
        <f ca="1">INT((TODAY()-E80)/365)</f>
        <v>26</v>
      </c>
      <c r="E80" s="5">
        <v>36759</v>
      </c>
      <c r="F80" s="27" t="s">
        <v>122</v>
      </c>
      <c r="G80" s="27" t="s">
        <v>122</v>
      </c>
      <c r="H80" s="6">
        <v>23200</v>
      </c>
      <c r="I80" s="6">
        <v>54500</v>
      </c>
      <c r="J80" s="23" t="s">
        <v>18</v>
      </c>
      <c r="K80" s="3">
        <v>26</v>
      </c>
      <c r="L80" s="27" t="str">
        <f>IF(OR(J80="Sim",M80="Sim",I80/H80&gt;=2,N80/H80&gt;=5),"Alto",IF(OR(I80/H80&gt;=1,N80/H80&gt;=3,K80&gt;=30),"Médio","Baixo"))</f>
        <v>Alto</v>
      </c>
      <c r="M80" s="23" t="s">
        <v>18</v>
      </c>
      <c r="N80" s="29">
        <v>75000</v>
      </c>
    </row>
    <row r="81" spans="1:14" ht="15.75">
      <c r="A81" s="27" t="s">
        <v>13</v>
      </c>
      <c r="B81" s="27" t="str">
        <f ca="1">PROPER(Tabela1[[#This Row],[nome]])</f>
        <v>Thoros Tarth</v>
      </c>
      <c r="C81" s="30" t="s">
        <v>759</v>
      </c>
      <c r="D81" s="3">
        <v>41</v>
      </c>
      <c r="E81" s="5">
        <v>31156</v>
      </c>
      <c r="F81" s="27" t="s">
        <v>100</v>
      </c>
      <c r="G81" s="27" t="s">
        <v>80</v>
      </c>
      <c r="H81" s="6">
        <v>26500</v>
      </c>
      <c r="I81" s="6">
        <v>29500</v>
      </c>
      <c r="J81" s="23" t="s">
        <v>38</v>
      </c>
      <c r="K81" s="3">
        <v>5</v>
      </c>
      <c r="L81" s="27" t="str">
        <f>IF(OR(J81="Sim",M81="Sim",I81/H81&gt;=2,N81/H81&gt;=5),"Alto",IF(OR(I81/H81&gt;=1,N81/H81&gt;=3,K81&gt;=30),"Médio","Baixo"))</f>
        <v>Médio</v>
      </c>
      <c r="M81" s="23" t="s">
        <v>38</v>
      </c>
      <c r="N81" s="29">
        <v>75000</v>
      </c>
    </row>
    <row r="82" spans="1:14" ht="15.75">
      <c r="A82" s="27" t="s">
        <v>13</v>
      </c>
      <c r="B82" s="27" t="str">
        <f ca="1">PROPER(Tabela1[[#This Row],[nome]])</f>
        <v>Rhaegar Lannister</v>
      </c>
      <c r="C82" s="30" t="s">
        <v>768</v>
      </c>
      <c r="D82" s="3">
        <v>24</v>
      </c>
      <c r="E82" s="5">
        <v>37290</v>
      </c>
      <c r="F82" s="27" t="s">
        <v>111</v>
      </c>
      <c r="G82" s="27" t="s">
        <v>87</v>
      </c>
      <c r="H82" s="6">
        <v>6400</v>
      </c>
      <c r="I82" s="6">
        <v>41000</v>
      </c>
      <c r="J82" s="23" t="s">
        <v>38</v>
      </c>
      <c r="K82" s="3">
        <v>22</v>
      </c>
      <c r="L82" s="27" t="str">
        <f>IF(OR(J82="Sim",M82="Sim",I82/H82&gt;=2,N82/H82&gt;=5),"Alto",IF(OR(I82/H82&gt;=1,N82/H82&gt;=3,K82&gt;=30),"Médio","Baixo"))</f>
        <v>Alto</v>
      </c>
      <c r="M82" s="23" t="s">
        <v>38</v>
      </c>
      <c r="N82" s="29">
        <v>74500</v>
      </c>
    </row>
    <row r="83" spans="1:14" ht="15.75">
      <c r="A83" s="27" t="s">
        <v>19</v>
      </c>
      <c r="B83" s="27" t="str">
        <f ca="1">PROPER(Tabela1[[#This Row],[nome]])</f>
        <v>Jeor Baelish</v>
      </c>
      <c r="C83" s="30" t="s">
        <v>493</v>
      </c>
      <c r="D83" s="3">
        <v>66</v>
      </c>
      <c r="E83" s="5">
        <v>22039</v>
      </c>
      <c r="F83" s="27" t="s">
        <v>122</v>
      </c>
      <c r="G83" s="27" t="s">
        <v>237</v>
      </c>
      <c r="H83" s="6">
        <v>14300</v>
      </c>
      <c r="I83" s="6">
        <v>78000</v>
      </c>
      <c r="J83" s="23" t="s">
        <v>38</v>
      </c>
      <c r="K83" s="3">
        <v>28</v>
      </c>
      <c r="L83" s="27" t="str">
        <f>IF(OR(J83="Sim",M83="Sim",I83/H83&gt;=2,N83/H83&gt;=5),"Alto",IF(OR(I83/H83&gt;=1,N83/H83&gt;=3,K83&gt;=30),"Médio","Baixo"))</f>
        <v>Alto</v>
      </c>
      <c r="M83" s="23" t="s">
        <v>38</v>
      </c>
      <c r="N83" s="29">
        <v>74500</v>
      </c>
    </row>
    <row r="84" spans="1:14" ht="15.75">
      <c r="A84" s="27" t="s">
        <v>19</v>
      </c>
      <c r="B84" s="27" t="str">
        <f ca="1">PROPER(Tabela1[[#This Row],[nome]])</f>
        <v>Bronn Manderly</v>
      </c>
      <c r="C84" s="30" t="s">
        <v>548</v>
      </c>
      <c r="D84" s="3">
        <v>69</v>
      </c>
      <c r="E84" s="5">
        <v>20785</v>
      </c>
      <c r="F84" s="27" t="s">
        <v>79</v>
      </c>
      <c r="G84" s="27" t="s">
        <v>80</v>
      </c>
      <c r="H84" s="6">
        <v>16000</v>
      </c>
      <c r="I84" s="6">
        <v>48000</v>
      </c>
      <c r="J84" s="23" t="s">
        <v>38</v>
      </c>
      <c r="K84" s="3">
        <v>29</v>
      </c>
      <c r="L84" s="27" t="str">
        <f>IF(OR(J84="Sim",M84="Sim",I84/H84&gt;=2,N84/H84&gt;=5),"Alto",IF(OR(I84/H84&gt;=1,N84/H84&gt;=3,K84&gt;=30),"Médio","Baixo"))</f>
        <v>Alto</v>
      </c>
      <c r="M84" s="23" t="s">
        <v>38</v>
      </c>
      <c r="N84" s="29">
        <v>74500</v>
      </c>
    </row>
    <row r="85" spans="1:14" ht="15.75">
      <c r="A85" s="27" t="s">
        <v>13</v>
      </c>
      <c r="B85" s="27" t="str">
        <f ca="1">PROPER(Tabela1[[#This Row],[nome]])</f>
        <v>Olenna Hornwood</v>
      </c>
      <c r="C85" s="30" t="s">
        <v>768</v>
      </c>
      <c r="D85" s="3">
        <v>46</v>
      </c>
      <c r="E85" s="5"/>
      <c r="F85" s="27" t="s">
        <v>79</v>
      </c>
      <c r="G85" s="27" t="s">
        <v>80</v>
      </c>
      <c r="H85" s="6">
        <v>21300</v>
      </c>
      <c r="I85" s="6">
        <v>60500</v>
      </c>
      <c r="J85" s="23" t="s">
        <v>768</v>
      </c>
      <c r="K85" s="3">
        <v>15</v>
      </c>
      <c r="L85" s="27" t="str">
        <f>IF(OR(J85="Sim",M85="Sim",I85/H85&gt;=2,N85/H85&gt;=5),"Alto",IF(OR(I85/H85&gt;=1,N85/H85&gt;=3,K85&gt;=30),"Médio","Baixo"))</f>
        <v>Alto</v>
      </c>
      <c r="M85" s="23" t="s">
        <v>768</v>
      </c>
      <c r="N85" s="29">
        <v>74500</v>
      </c>
    </row>
    <row r="86" spans="1:14" ht="15.75">
      <c r="A86" s="27" t="s">
        <v>13</v>
      </c>
      <c r="B86" s="27" t="str">
        <f ca="1">PROPER(Tabela1[[#This Row],[nome]])</f>
        <v>Ramsay Hornwood</v>
      </c>
      <c r="C86" s="30" t="s">
        <v>136</v>
      </c>
      <c r="D86" s="3">
        <v>65</v>
      </c>
      <c r="E86" s="5">
        <v>22236</v>
      </c>
      <c r="F86" s="27" t="s">
        <v>50</v>
      </c>
      <c r="G86" s="27" t="s">
        <v>70</v>
      </c>
      <c r="H86" s="6">
        <v>23400</v>
      </c>
      <c r="I86" s="6">
        <v>28000</v>
      </c>
      <c r="J86" s="23" t="s">
        <v>38</v>
      </c>
      <c r="K86" s="3">
        <v>34</v>
      </c>
      <c r="L86" s="27" t="str">
        <f>IF(OR(J86="Sim",M86="Sim",I86/H86&gt;=2,N86/H86&gt;=5),"Alto",IF(OR(I86/H86&gt;=1,N86/H86&gt;=3,K86&gt;=30),"Médio","Baixo"))</f>
        <v>Médio</v>
      </c>
      <c r="M86" s="23" t="s">
        <v>38</v>
      </c>
      <c r="N86" s="29">
        <v>74000</v>
      </c>
    </row>
    <row r="87" spans="1:14" ht="15.75">
      <c r="A87" s="27" t="s">
        <v>13</v>
      </c>
      <c r="B87" s="27" t="str">
        <f ca="1">PROPER(Tabela1[[#This Row],[nome]])</f>
        <v>Podrick Dayne</v>
      </c>
      <c r="C87" s="30" t="s">
        <v>768</v>
      </c>
      <c r="D87" s="3">
        <v>25</v>
      </c>
      <c r="E87" s="5">
        <v>36831</v>
      </c>
      <c r="F87" s="27" t="s">
        <v>86</v>
      </c>
      <c r="G87" s="27" t="s">
        <v>87</v>
      </c>
      <c r="H87" s="6">
        <v>9400</v>
      </c>
      <c r="I87" s="6">
        <v>51500</v>
      </c>
      <c r="J87" s="23" t="s">
        <v>38</v>
      </c>
      <c r="K87" s="3">
        <v>14</v>
      </c>
      <c r="L87" s="27" t="str">
        <f>IF(OR(J87="Sim",M87="Sim",I87/H87&gt;=2,N87/H87&gt;=5),"Alto",IF(OR(I87/H87&gt;=1,N87/H87&gt;=3,K87&gt;=30),"Médio","Baixo"))</f>
        <v>Alto</v>
      </c>
      <c r="M87" s="23" t="s">
        <v>38</v>
      </c>
      <c r="N87" s="29">
        <v>74000</v>
      </c>
    </row>
    <row r="88" spans="1:14" ht="15.75">
      <c r="A88" s="27" t="s">
        <v>13</v>
      </c>
      <c r="B88" s="27" t="str">
        <f ca="1">PROPER(Tabela1[[#This Row],[nome]])</f>
        <v>Petyr Greyjoy</v>
      </c>
      <c r="C88" s="30" t="s">
        <v>452</v>
      </c>
      <c r="D88" s="3">
        <v>42</v>
      </c>
      <c r="E88" s="5">
        <v>30898</v>
      </c>
      <c r="F88" s="27" t="s">
        <v>41</v>
      </c>
      <c r="G88" s="27" t="s">
        <v>46</v>
      </c>
      <c r="H88" s="6">
        <v>20800</v>
      </c>
      <c r="I88" s="6">
        <v>54000</v>
      </c>
      <c r="J88" s="23" t="s">
        <v>38</v>
      </c>
      <c r="K88" s="3">
        <v>4</v>
      </c>
      <c r="L88" s="27" t="str">
        <f>IF(OR(J88="Sim",M88="Sim",I88/H88&gt;=2,N88/H88&gt;=5),"Alto",IF(OR(I88/H88&gt;=1,N88/H88&gt;=3,K88&gt;=30),"Médio","Baixo"))</f>
        <v>Alto</v>
      </c>
      <c r="M88" s="23" t="s">
        <v>38</v>
      </c>
      <c r="N88" s="29">
        <v>73500</v>
      </c>
    </row>
    <row r="89" spans="1:14" ht="15.75">
      <c r="A89" s="27" t="s">
        <v>13</v>
      </c>
      <c r="B89" s="27" t="str">
        <f ca="1">PROPER(Tabela1[[#This Row],[nome]])</f>
        <v>Bronn Royce</v>
      </c>
      <c r="C89" s="30" t="s">
        <v>768</v>
      </c>
      <c r="D89" s="3">
        <v>61</v>
      </c>
      <c r="E89" s="5">
        <v>23928</v>
      </c>
      <c r="F89" s="27" t="s">
        <v>243</v>
      </c>
      <c r="G89" s="27" t="s">
        <v>22</v>
      </c>
      <c r="H89" s="6">
        <v>22900</v>
      </c>
      <c r="I89" s="6">
        <v>7500</v>
      </c>
      <c r="J89" s="23" t="s">
        <v>38</v>
      </c>
      <c r="K89" s="3">
        <v>12</v>
      </c>
      <c r="L89" s="27" t="str">
        <f>IF(OR(J89="Sim",M89="Sim",I89/H89&gt;=2,N89/H89&gt;=5),"Alto",IF(OR(I89/H89&gt;=1,N89/H89&gt;=3,K89&gt;=30),"Médio","Baixo"))</f>
        <v>Médio</v>
      </c>
      <c r="M89" s="23" t="s">
        <v>38</v>
      </c>
      <c r="N89" s="29">
        <v>73000</v>
      </c>
    </row>
    <row r="90" spans="1:14" ht="15.75">
      <c r="A90" s="27" t="s">
        <v>19</v>
      </c>
      <c r="B90" s="27" t="str">
        <f ca="1">PROPER(Tabela1[[#This Row],[nome]])</f>
        <v>Eddard Dayne</v>
      </c>
      <c r="C90" s="30" t="s">
        <v>768</v>
      </c>
      <c r="D90" s="3">
        <v>31</v>
      </c>
      <c r="E90" s="5">
        <v>34746</v>
      </c>
      <c r="F90" s="27" t="s">
        <v>65</v>
      </c>
      <c r="G90" s="27" t="s">
        <v>60</v>
      </c>
      <c r="H90" s="6">
        <v>18200</v>
      </c>
      <c r="I90" s="6">
        <v>78500</v>
      </c>
      <c r="J90" s="23" t="s">
        <v>38</v>
      </c>
      <c r="K90" s="3">
        <v>9</v>
      </c>
      <c r="L90" s="27" t="str">
        <f>IF(OR(J90="Sim",M90="Sim",I90/H90&gt;=2,N90/H90&gt;=5),"Alto",IF(OR(I90/H90&gt;=1,N90/H90&gt;=3,K90&gt;=30),"Médio","Baixo"))</f>
        <v>Alto</v>
      </c>
      <c r="M90" s="23" t="s">
        <v>38</v>
      </c>
      <c r="N90" s="29">
        <v>73000</v>
      </c>
    </row>
    <row r="91" spans="1:14" ht="15.75">
      <c r="A91" s="27" t="s">
        <v>13</v>
      </c>
      <c r="B91" s="27" t="str">
        <f ca="1">PROPER(Tabela1[[#This Row],[nome]])</f>
        <v>Varys Bracken</v>
      </c>
      <c r="C91" s="30" t="s">
        <v>162</v>
      </c>
      <c r="D91" s="3">
        <v>28</v>
      </c>
      <c r="E91" s="5">
        <v>35887</v>
      </c>
      <c r="F91" s="27" t="s">
        <v>163</v>
      </c>
      <c r="G91" s="27" t="s">
        <v>27</v>
      </c>
      <c r="H91" s="6">
        <v>2000</v>
      </c>
      <c r="I91" s="6">
        <v>51000</v>
      </c>
      <c r="J91" s="23" t="s">
        <v>38</v>
      </c>
      <c r="K91" s="3">
        <v>12</v>
      </c>
      <c r="L91" s="27" t="str">
        <f>IF(OR(J91="Sim",M91="Sim",I91/H91&gt;=2,N91/H91&gt;=5),"Alto",IF(OR(I91/H91&gt;=1,N91/H91&gt;=3,K91&gt;=30),"Médio","Baixo"))</f>
        <v>Alto</v>
      </c>
      <c r="M91" s="23" t="s">
        <v>38</v>
      </c>
      <c r="N91" s="29">
        <v>72500</v>
      </c>
    </row>
    <row r="92" spans="1:14" ht="15.75">
      <c r="A92" s="27" t="s">
        <v>13</v>
      </c>
      <c r="B92" s="27" t="str">
        <f ca="1">PROPER(Tabela1[[#This Row],[nome]])</f>
        <v>Aegon Bracken</v>
      </c>
      <c r="C92" s="30" t="s">
        <v>293</v>
      </c>
      <c r="D92" s="3">
        <v>69</v>
      </c>
      <c r="E92" s="5">
        <v>20725</v>
      </c>
      <c r="F92" s="27" t="s">
        <v>76</v>
      </c>
      <c r="G92" s="27" t="s">
        <v>77</v>
      </c>
      <c r="H92" s="6">
        <v>8100</v>
      </c>
      <c r="I92" s="6">
        <v>27500</v>
      </c>
      <c r="J92" s="23" t="s">
        <v>38</v>
      </c>
      <c r="K92" s="3">
        <v>42</v>
      </c>
      <c r="L92" s="27" t="str">
        <f>IF(OR(J92="Sim",M92="Sim",I92/H92&gt;=2,N92/H92&gt;=5),"Alto",IF(OR(I92/H92&gt;=1,N92/H92&gt;=3,K92&gt;=30),"Médio","Baixo"))</f>
        <v>Alto</v>
      </c>
      <c r="M92" s="23" t="s">
        <v>38</v>
      </c>
      <c r="N92" s="29">
        <v>72500</v>
      </c>
    </row>
    <row r="93" spans="1:14" ht="15.75">
      <c r="A93" s="27" t="s">
        <v>13</v>
      </c>
      <c r="B93" s="27" t="str">
        <f ca="1">PROPER(Tabela1[[#This Row],[nome]])</f>
        <v>Catelyn Umber</v>
      </c>
      <c r="C93" s="30" t="s">
        <v>768</v>
      </c>
      <c r="D93" s="3">
        <v>64</v>
      </c>
      <c r="E93" s="5">
        <v>22828</v>
      </c>
      <c r="F93" s="27" t="s">
        <v>107</v>
      </c>
      <c r="G93" s="27" t="s">
        <v>77</v>
      </c>
      <c r="H93" s="6">
        <v>2900</v>
      </c>
      <c r="I93" s="6">
        <v>76000</v>
      </c>
      <c r="J93" s="23" t="s">
        <v>38</v>
      </c>
      <c r="K93" s="3">
        <v>32</v>
      </c>
      <c r="L93" s="27" t="str">
        <f>IF(OR(J93="Sim",M93="Sim",I93/H93&gt;=2,N93/H93&gt;=5),"Alto",IF(OR(I93/H93&gt;=1,N93/H93&gt;=3,K93&gt;=30),"Médio","Baixo"))</f>
        <v>Alto</v>
      </c>
      <c r="M93" s="23" t="s">
        <v>38</v>
      </c>
      <c r="N93" s="29">
        <v>72500</v>
      </c>
    </row>
    <row r="94" spans="1:14" ht="15.75">
      <c r="A94" s="27" t="s">
        <v>13</v>
      </c>
      <c r="B94" s="27" t="str">
        <f ca="1">PROPER(Tabela1[[#This Row],[nome]])</f>
        <v>Beric Tyrell</v>
      </c>
      <c r="C94" s="30" t="s">
        <v>367</v>
      </c>
      <c r="D94" s="3">
        <v>66</v>
      </c>
      <c r="E94" s="5">
        <v>22151</v>
      </c>
      <c r="F94" s="27" t="s">
        <v>86</v>
      </c>
      <c r="G94" s="27" t="s">
        <v>87</v>
      </c>
      <c r="H94" s="6">
        <v>11800</v>
      </c>
      <c r="I94" s="6">
        <v>2000</v>
      </c>
      <c r="J94" s="23" t="s">
        <v>18</v>
      </c>
      <c r="K94" s="3">
        <v>23</v>
      </c>
      <c r="L94" s="27" t="str">
        <f>IF(OR(J94="Sim",M94="Sim",I94/H94&gt;=2,N94/H94&gt;=5),"Alto",IF(OR(I94/H94&gt;=1,N94/H94&gt;=3,K94&gt;=30),"Médio","Baixo"))</f>
        <v>Alto</v>
      </c>
      <c r="M94" s="23" t="s">
        <v>18</v>
      </c>
      <c r="N94" s="29">
        <v>72500</v>
      </c>
    </row>
    <row r="95" spans="1:14" ht="15.75">
      <c r="A95" s="27" t="s">
        <v>13</v>
      </c>
      <c r="B95" s="27" t="str">
        <f ca="1">PROPER(Tabela1[[#This Row],[nome]])</f>
        <v>Bran Florent</v>
      </c>
      <c r="C95" s="30" t="s">
        <v>256</v>
      </c>
      <c r="D95" s="3">
        <v>62</v>
      </c>
      <c r="E95" s="5">
        <v>23488</v>
      </c>
      <c r="F95" s="27" t="s">
        <v>16</v>
      </c>
      <c r="G95" s="27" t="s">
        <v>17</v>
      </c>
      <c r="H95" s="8" t="s">
        <v>768</v>
      </c>
      <c r="I95" s="6" t="s">
        <v>768</v>
      </c>
      <c r="J95" s="23" t="s">
        <v>38</v>
      </c>
      <c r="K95" s="3">
        <v>38</v>
      </c>
      <c r="L95" s="27" t="s">
        <v>770</v>
      </c>
      <c r="M95" s="23" t="s">
        <v>38</v>
      </c>
      <c r="N95" s="29">
        <v>72000</v>
      </c>
    </row>
    <row r="96" spans="1:14" ht="15.75">
      <c r="A96" s="27" t="s">
        <v>13</v>
      </c>
      <c r="B96" s="27" t="str">
        <f ca="1">PROPER(Tabela1[[#This Row],[nome]])</f>
        <v>Loras Lannister</v>
      </c>
      <c r="C96" s="30" t="s">
        <v>695</v>
      </c>
      <c r="D96" s="3">
        <v>49</v>
      </c>
      <c r="E96" s="5">
        <v>28067</v>
      </c>
      <c r="F96" s="27" t="s">
        <v>50</v>
      </c>
      <c r="G96" s="27" t="s">
        <v>70</v>
      </c>
      <c r="H96" s="6">
        <v>29800</v>
      </c>
      <c r="I96" s="6">
        <v>54500</v>
      </c>
      <c r="J96" s="23" t="s">
        <v>38</v>
      </c>
      <c r="K96" s="3">
        <v>34</v>
      </c>
      <c r="L96" s="27" t="str">
        <f>IF(OR(J96="Sim",M96="Sim",I96/H96&gt;=2,N96/H96&gt;=5),"Alto",IF(OR(I96/H96&gt;=1,N96/H96&gt;=3,K96&gt;=30),"Médio","Baixo"))</f>
        <v>Médio</v>
      </c>
      <c r="M96" s="23" t="s">
        <v>38</v>
      </c>
      <c r="N96" s="29">
        <v>72000</v>
      </c>
    </row>
    <row r="97" spans="1:14" ht="15.75">
      <c r="A97" s="27" t="s">
        <v>13</v>
      </c>
      <c r="B97" s="27" t="str">
        <f ca="1">PROPER(Tabela1[[#This Row],[nome]])</f>
        <v>Stannis Westerling</v>
      </c>
      <c r="C97" s="30" t="s">
        <v>717</v>
      </c>
      <c r="D97" s="3">
        <f ca="1">INT((TODAY()-E97)/365)</f>
        <v>31</v>
      </c>
      <c r="E97" s="5">
        <v>34769</v>
      </c>
      <c r="F97" s="27" t="s">
        <v>41</v>
      </c>
      <c r="G97" s="27" t="s">
        <v>46</v>
      </c>
      <c r="H97" s="6">
        <v>9000</v>
      </c>
      <c r="I97" s="6">
        <v>66000</v>
      </c>
      <c r="J97" s="23" t="s">
        <v>38</v>
      </c>
      <c r="K97" s="3">
        <v>24</v>
      </c>
      <c r="L97" s="27" t="str">
        <f>IF(OR(J97="Sim",M97="Sim",I97/H97&gt;=2,N97/H97&gt;=5),"Alto",IF(OR(I97/H97&gt;=1,N97/H97&gt;=3,K97&gt;=30),"Médio","Baixo"))</f>
        <v>Alto</v>
      </c>
      <c r="M97" s="23" t="s">
        <v>38</v>
      </c>
      <c r="N97" s="29">
        <v>72000</v>
      </c>
    </row>
    <row r="98" spans="1:14" ht="15.75">
      <c r="A98" s="27" t="s">
        <v>13</v>
      </c>
      <c r="B98" s="27" t="str">
        <f ca="1">PROPER(Tabela1[[#This Row],[nome]])</f>
        <v>Ramsay Tarly</v>
      </c>
      <c r="C98" s="30" t="s">
        <v>768</v>
      </c>
      <c r="D98" s="3">
        <v>35</v>
      </c>
      <c r="E98" s="5">
        <v>33440</v>
      </c>
      <c r="F98" s="27" t="s">
        <v>50</v>
      </c>
      <c r="G98" s="27" t="s">
        <v>70</v>
      </c>
      <c r="H98" s="6">
        <v>2000</v>
      </c>
      <c r="I98" s="6">
        <v>5500</v>
      </c>
      <c r="J98" s="23" t="s">
        <v>38</v>
      </c>
      <c r="K98" s="3">
        <v>34</v>
      </c>
      <c r="L98" s="27" t="str">
        <f>IF(OR(J98="Sim",M98="Sim",I98/H98&gt;=2,N98/H98&gt;=5),"Alto",IF(OR(I98/H98&gt;=1,N98/H98&gt;=3,K98&gt;=30),"Médio","Baixo"))</f>
        <v>Alto</v>
      </c>
      <c r="M98" s="23" t="s">
        <v>38</v>
      </c>
      <c r="N98" s="29">
        <v>71000</v>
      </c>
    </row>
    <row r="99" spans="1:14" ht="15.75">
      <c r="A99" s="27" t="s">
        <v>13</v>
      </c>
      <c r="B99" s="27" t="str">
        <f ca="1">PROPER(Tabela1[[#This Row],[nome]])</f>
        <v>Shae Seaworth</v>
      </c>
      <c r="C99" s="30" t="s">
        <v>213</v>
      </c>
      <c r="D99" s="3">
        <v>33</v>
      </c>
      <c r="E99" s="5">
        <v>34027</v>
      </c>
      <c r="F99" s="27" t="s">
        <v>65</v>
      </c>
      <c r="G99" s="27" t="s">
        <v>60</v>
      </c>
      <c r="H99" s="6">
        <v>3400</v>
      </c>
      <c r="I99" s="8">
        <v>0</v>
      </c>
      <c r="J99" s="23" t="s">
        <v>38</v>
      </c>
      <c r="K99" s="3">
        <v>13</v>
      </c>
      <c r="L99" s="27" t="str">
        <f>IF(OR(J99="Sim",M99="Sim",I99/H99&gt;=2,N99/H99&gt;=5),"Alto",IF(OR(I99/H99&gt;=1,N99/H99&gt;=3,K99&gt;=30),"Médio","Baixo"))</f>
        <v>Alto</v>
      </c>
      <c r="M99" s="23" t="s">
        <v>38</v>
      </c>
      <c r="N99" s="29">
        <v>70000</v>
      </c>
    </row>
    <row r="100" spans="1:14" ht="15.75">
      <c r="A100" s="27" t="s">
        <v>13</v>
      </c>
      <c r="B100" s="27" t="str">
        <f ca="1">PROPER(Tabela1[[#This Row],[nome]])</f>
        <v>Daenerys Snow</v>
      </c>
      <c r="C100" s="30" t="s">
        <v>768</v>
      </c>
      <c r="D100" s="3">
        <v>48</v>
      </c>
      <c r="E100" s="5">
        <v>28681</v>
      </c>
      <c r="F100" s="27" t="s">
        <v>122</v>
      </c>
      <c r="G100" s="27" t="s">
        <v>122</v>
      </c>
      <c r="H100" s="6">
        <v>15800</v>
      </c>
      <c r="I100" s="6" t="s">
        <v>768</v>
      </c>
      <c r="J100" s="23" t="s">
        <v>38</v>
      </c>
      <c r="K100" s="3">
        <v>12</v>
      </c>
      <c r="L100" s="27" t="s">
        <v>771</v>
      </c>
      <c r="M100" s="23" t="s">
        <v>38</v>
      </c>
      <c r="N100" s="29">
        <v>69500</v>
      </c>
    </row>
    <row r="101" spans="1:14" ht="15.75">
      <c r="A101" s="27" t="s">
        <v>13</v>
      </c>
      <c r="B101" s="27" t="str">
        <f ca="1">PROPER(Tabela1[[#This Row],[nome]])</f>
        <v>Cersei Clegane</v>
      </c>
      <c r="C101" s="30" t="s">
        <v>223</v>
      </c>
      <c r="D101" s="3">
        <v>24</v>
      </c>
      <c r="E101" s="5">
        <v>37259</v>
      </c>
      <c r="F101" s="27" t="s">
        <v>122</v>
      </c>
      <c r="G101" s="27" t="s">
        <v>122</v>
      </c>
      <c r="H101" s="6">
        <v>25200</v>
      </c>
      <c r="I101" s="8">
        <v>0</v>
      </c>
      <c r="J101" s="23" t="s">
        <v>38</v>
      </c>
      <c r="K101" s="3">
        <v>10</v>
      </c>
      <c r="L101" s="27" t="str">
        <f>IF(OR(J101="Sim",M101="Sim",I101/H101&gt;=2,N101/H101&gt;=5),"Alto",IF(OR(I101/H101&gt;=1,N101/H101&gt;=3,K101&gt;=30),"Médio","Baixo"))</f>
        <v>Baixo</v>
      </c>
      <c r="M101" s="23" t="s">
        <v>38</v>
      </c>
      <c r="N101" s="29">
        <v>69500</v>
      </c>
    </row>
    <row r="102" spans="1:14" ht="15.75">
      <c r="A102" s="27" t="s">
        <v>13</v>
      </c>
      <c r="B102" s="27" t="str">
        <f ca="1">PROPER(Tabela1[[#This Row],[nome]])</f>
        <v>Ellaria Seaworth</v>
      </c>
      <c r="C102" s="30" t="s">
        <v>89</v>
      </c>
      <c r="D102" s="3">
        <v>23</v>
      </c>
      <c r="E102" s="5">
        <v>37627</v>
      </c>
      <c r="F102" s="27" t="s">
        <v>76</v>
      </c>
      <c r="G102" s="27" t="s">
        <v>77</v>
      </c>
      <c r="H102" s="8" t="s">
        <v>768</v>
      </c>
      <c r="I102" s="6">
        <v>69000</v>
      </c>
      <c r="J102" s="23" t="s">
        <v>38</v>
      </c>
      <c r="K102" s="3">
        <v>20</v>
      </c>
      <c r="L102" s="27" t="s">
        <v>770</v>
      </c>
      <c r="M102" s="23" t="s">
        <v>38</v>
      </c>
      <c r="N102" s="29">
        <v>69000</v>
      </c>
    </row>
    <row r="103" spans="1:14" ht="15.75">
      <c r="A103" s="27" t="s">
        <v>13</v>
      </c>
      <c r="B103" s="27" t="str">
        <f ca="1">PROPER(Tabela1[[#This Row],[nome]])</f>
        <v>Rhaegar Payne</v>
      </c>
      <c r="C103" s="30" t="s">
        <v>763</v>
      </c>
      <c r="D103" s="3">
        <v>60</v>
      </c>
      <c r="E103" s="5">
        <v>24272</v>
      </c>
      <c r="F103" s="27" t="s">
        <v>155</v>
      </c>
      <c r="G103" s="27" t="s">
        <v>87</v>
      </c>
      <c r="H103" s="6">
        <v>17300</v>
      </c>
      <c r="I103" s="6">
        <v>15000</v>
      </c>
      <c r="J103" s="23" t="s">
        <v>38</v>
      </c>
      <c r="K103" s="3">
        <v>17</v>
      </c>
      <c r="L103" s="27" t="str">
        <f>IF(OR(J103="Sim",M103="Sim",I103/H103&gt;=2,N103/H103&gt;=5),"Alto",IF(OR(I103/H103&gt;=1,N103/H103&gt;=3,K103&gt;=30),"Médio","Baixo"))</f>
        <v>Médio</v>
      </c>
      <c r="M103" s="23" t="s">
        <v>38</v>
      </c>
      <c r="N103" s="29">
        <v>69000</v>
      </c>
    </row>
    <row r="104" spans="1:14" ht="15.75">
      <c r="A104" s="27" t="s">
        <v>13</v>
      </c>
      <c r="B104" s="27" t="str">
        <f ca="1">PROPER(Tabela1[[#This Row],[nome]])</f>
        <v>Gilly Marbrand</v>
      </c>
      <c r="C104" s="30" t="s">
        <v>768</v>
      </c>
      <c r="D104" s="3">
        <v>44</v>
      </c>
      <c r="E104" s="5">
        <v>29843</v>
      </c>
      <c r="F104" s="27" t="s">
        <v>26</v>
      </c>
      <c r="G104" s="27" t="s">
        <v>27</v>
      </c>
      <c r="H104" s="6">
        <v>11300</v>
      </c>
      <c r="I104" s="6">
        <v>55000</v>
      </c>
      <c r="J104" s="23" t="s">
        <v>38</v>
      </c>
      <c r="K104" s="3">
        <v>38</v>
      </c>
      <c r="L104" s="27" t="str">
        <f>IF(OR(J104="Sim",M104="Sim",I104/H104&gt;=2,N104/H104&gt;=5),"Alto",IF(OR(I104/H104&gt;=1,N104/H104&gt;=3,K104&gt;=30),"Médio","Baixo"))</f>
        <v>Alto</v>
      </c>
      <c r="M104" s="23" t="s">
        <v>38</v>
      </c>
      <c r="N104" s="29">
        <v>68500</v>
      </c>
    </row>
    <row r="105" spans="1:14" ht="15.75">
      <c r="A105" s="27" t="s">
        <v>13</v>
      </c>
      <c r="B105" s="27" t="str">
        <f ca="1">PROPER(Tabela1[[#This Row],[nome]])</f>
        <v>Thoros Crakehall</v>
      </c>
      <c r="C105" s="30" t="s">
        <v>768</v>
      </c>
      <c r="D105" s="3">
        <v>74</v>
      </c>
      <c r="E105" s="5">
        <v>19131</v>
      </c>
      <c r="F105" s="27" t="s">
        <v>163</v>
      </c>
      <c r="G105" s="27" t="s">
        <v>27</v>
      </c>
      <c r="H105" s="6">
        <v>20700</v>
      </c>
      <c r="I105" s="6">
        <v>17500</v>
      </c>
      <c r="J105" s="23" t="s">
        <v>38</v>
      </c>
      <c r="K105" s="3">
        <v>35</v>
      </c>
      <c r="L105" s="27" t="str">
        <f>IF(OR(J105="Sim",M105="Sim",I105/H105&gt;=2,N105/H105&gt;=5),"Alto",IF(OR(I105/H105&gt;=1,N105/H105&gt;=3,K105&gt;=30),"Médio","Baixo"))</f>
        <v>Médio</v>
      </c>
      <c r="M105" s="23" t="s">
        <v>38</v>
      </c>
      <c r="N105" s="29">
        <v>68500</v>
      </c>
    </row>
    <row r="106" spans="1:14" ht="15.75">
      <c r="A106" s="27" t="s">
        <v>19</v>
      </c>
      <c r="B106" s="27" t="str">
        <f ca="1">PROPER(Tabela1[[#This Row],[nome]])</f>
        <v>Jeor Marbrand</v>
      </c>
      <c r="C106" s="30" t="s">
        <v>391</v>
      </c>
      <c r="D106" s="3">
        <v>63</v>
      </c>
      <c r="E106" s="5">
        <v>22924</v>
      </c>
      <c r="F106" s="27" t="s">
        <v>65</v>
      </c>
      <c r="G106" s="27" t="s">
        <v>60</v>
      </c>
      <c r="H106" s="6">
        <v>29000</v>
      </c>
      <c r="I106" s="6">
        <v>36500</v>
      </c>
      <c r="J106" s="23" t="s">
        <v>38</v>
      </c>
      <c r="K106" s="3">
        <v>38</v>
      </c>
      <c r="L106" s="27" t="str">
        <f>IF(OR(J106="Sim",M106="Sim",I106/H106&gt;=2,N106/H106&gt;=5),"Alto",IF(OR(I106/H106&gt;=1,N106/H106&gt;=3,K106&gt;=30),"Médio","Baixo"))</f>
        <v>Médio</v>
      </c>
      <c r="M106" s="23" t="s">
        <v>38</v>
      </c>
      <c r="N106" s="29">
        <v>68000</v>
      </c>
    </row>
    <row r="107" spans="1:14" ht="15.75">
      <c r="A107" s="27" t="s">
        <v>13</v>
      </c>
      <c r="B107" s="27" t="str">
        <f ca="1">PROPER(Tabela1[[#This Row],[nome]])</f>
        <v>Daario Tarly</v>
      </c>
      <c r="C107" s="30" t="s">
        <v>744</v>
      </c>
      <c r="D107" s="3">
        <v>32</v>
      </c>
      <c r="E107" s="5">
        <v>34508</v>
      </c>
      <c r="F107" s="27" t="s">
        <v>122</v>
      </c>
      <c r="G107" s="27" t="s">
        <v>122</v>
      </c>
      <c r="H107" s="6">
        <v>9800</v>
      </c>
      <c r="I107" s="8">
        <v>0</v>
      </c>
      <c r="J107" s="23" t="s">
        <v>38</v>
      </c>
      <c r="K107" s="3">
        <v>23</v>
      </c>
      <c r="L107" s="27" t="str">
        <f>IF(OR(J107="Sim",M107="Sim",I107/H107&gt;=2,N107/H107&gt;=5),"Alto",IF(OR(I107/H107&gt;=1,N107/H107&gt;=3,K107&gt;=30),"Médio","Baixo"))</f>
        <v>Alto</v>
      </c>
      <c r="M107" s="23" t="s">
        <v>38</v>
      </c>
      <c r="N107" s="29">
        <v>68000</v>
      </c>
    </row>
    <row r="108" spans="1:14" ht="15.75">
      <c r="A108" s="27" t="s">
        <v>13</v>
      </c>
      <c r="B108" s="27" t="str">
        <f ca="1">PROPER(Tabela1[[#This Row],[nome]])</f>
        <v>Ramsay Dayne</v>
      </c>
      <c r="C108" s="30" t="s">
        <v>473</v>
      </c>
      <c r="D108" s="3">
        <v>55</v>
      </c>
      <c r="E108" s="5">
        <v>26103</v>
      </c>
      <c r="F108" s="27" t="s">
        <v>21</v>
      </c>
      <c r="G108" s="27" t="s">
        <v>22</v>
      </c>
      <c r="H108" s="6">
        <v>9600</v>
      </c>
      <c r="I108" s="6">
        <v>43000</v>
      </c>
      <c r="J108" s="23" t="s">
        <v>38</v>
      </c>
      <c r="K108" s="3">
        <v>36</v>
      </c>
      <c r="L108" s="27" t="str">
        <f>IF(OR(J108="Sim",M108="Sim",I108/H108&gt;=2,N108/H108&gt;=5),"Alto",IF(OR(I108/H108&gt;=1,N108/H108&gt;=3,K108&gt;=30),"Médio","Baixo"))</f>
        <v>Alto</v>
      </c>
      <c r="M108" s="23" t="s">
        <v>38</v>
      </c>
      <c r="N108" s="29">
        <v>67500</v>
      </c>
    </row>
    <row r="109" spans="1:14" ht="15.75">
      <c r="A109" s="27" t="s">
        <v>13</v>
      </c>
      <c r="B109" s="27" t="str">
        <f ca="1">PROPER(Tabela1[[#This Row],[nome]])</f>
        <v>Bronn Dondarrion</v>
      </c>
      <c r="C109" s="30" t="s">
        <v>765</v>
      </c>
      <c r="D109" s="3">
        <v>49</v>
      </c>
      <c r="E109" s="5">
        <v>28136</v>
      </c>
      <c r="F109" s="27" t="s">
        <v>111</v>
      </c>
      <c r="G109" s="27" t="s">
        <v>87</v>
      </c>
      <c r="H109" s="6">
        <v>20300</v>
      </c>
      <c r="I109" s="6">
        <v>12000</v>
      </c>
      <c r="J109" s="23" t="s">
        <v>18</v>
      </c>
      <c r="K109" s="3">
        <v>27</v>
      </c>
      <c r="L109" s="27" t="str">
        <f>IF(OR(J109="Sim",M109="Sim",I109/H109&gt;=2,N109/H109&gt;=5),"Alto",IF(OR(I109/H109&gt;=1,N109/H109&gt;=3,K109&gt;=30),"Médio","Baixo"))</f>
        <v>Alto</v>
      </c>
      <c r="M109" s="23" t="s">
        <v>18</v>
      </c>
      <c r="N109" s="29">
        <v>67500</v>
      </c>
    </row>
    <row r="110" spans="1:14" ht="15.75">
      <c r="A110" s="27" t="s">
        <v>19</v>
      </c>
      <c r="B110" s="27" t="str">
        <f ca="1">PROPER(Tabela1[[#This Row],[nome]])</f>
        <v>Eddard Crakehall</v>
      </c>
      <c r="C110" s="30" t="s">
        <v>768</v>
      </c>
      <c r="D110" s="3">
        <v>43</v>
      </c>
      <c r="E110" s="5">
        <v>30391</v>
      </c>
      <c r="F110" s="27" t="s">
        <v>79</v>
      </c>
      <c r="G110" s="27" t="s">
        <v>80</v>
      </c>
      <c r="H110" s="6">
        <v>7100</v>
      </c>
      <c r="I110" s="6">
        <v>5500</v>
      </c>
      <c r="J110" s="23" t="s">
        <v>38</v>
      </c>
      <c r="K110" s="3">
        <v>23</v>
      </c>
      <c r="L110" s="27" t="str">
        <f>IF(OR(J110="Sim",M110="Sim",I110/H110&gt;=2,N110/H110&gt;=5),"Alto",IF(OR(I110/H110&gt;=1,N110/H110&gt;=3,K110&gt;=30),"Médio","Baixo"))</f>
        <v>Alto</v>
      </c>
      <c r="M110" s="23" t="s">
        <v>38</v>
      </c>
      <c r="N110" s="29">
        <v>67000</v>
      </c>
    </row>
    <row r="111" spans="1:14" ht="15.75">
      <c r="A111" s="27" t="s">
        <v>13</v>
      </c>
      <c r="B111" s="27" t="str">
        <f ca="1">PROPER(Tabela1[[#This Row],[nome]])</f>
        <v>Rickon Crakehall</v>
      </c>
      <c r="C111" s="30" t="s">
        <v>182</v>
      </c>
      <c r="D111" s="3">
        <v>24</v>
      </c>
      <c r="E111" s="5">
        <v>37435</v>
      </c>
      <c r="F111" s="27" t="s">
        <v>183</v>
      </c>
      <c r="G111" s="27" t="s">
        <v>397</v>
      </c>
      <c r="H111" s="6">
        <v>6100</v>
      </c>
      <c r="I111" s="6" t="s">
        <v>768</v>
      </c>
      <c r="J111" s="23" t="s">
        <v>185</v>
      </c>
      <c r="K111" s="3">
        <v>15</v>
      </c>
      <c r="L111" s="27" t="s">
        <v>769</v>
      </c>
      <c r="M111" s="23" t="s">
        <v>38</v>
      </c>
      <c r="N111" s="29">
        <v>67000</v>
      </c>
    </row>
    <row r="112" spans="1:14" ht="15.75">
      <c r="A112" s="27" t="s">
        <v>13</v>
      </c>
      <c r="B112" s="27" t="str">
        <f ca="1">PROPER(Tabela1[[#This Row],[nome]])</f>
        <v>Ellaria Cerwyn</v>
      </c>
      <c r="C112" s="30" t="s">
        <v>691</v>
      </c>
      <c r="D112" s="3">
        <v>51</v>
      </c>
      <c r="E112" s="5">
        <v>27378</v>
      </c>
      <c r="F112" s="27" t="s">
        <v>122</v>
      </c>
      <c r="G112" s="27" t="s">
        <v>122</v>
      </c>
      <c r="H112" s="6">
        <v>11600</v>
      </c>
      <c r="I112" s="6">
        <v>41000</v>
      </c>
      <c r="J112" s="23" t="s">
        <v>38</v>
      </c>
      <c r="K112" s="3">
        <v>7</v>
      </c>
      <c r="L112" s="27" t="str">
        <f>IF(OR(J112="Sim",M112="Sim",I112/H112&gt;=2,N112/H112&gt;=5),"Alto",IF(OR(I112/H112&gt;=1,N112/H112&gt;=3,K112&gt;=30),"Médio","Baixo"))</f>
        <v>Alto</v>
      </c>
      <c r="M112" s="23" t="s">
        <v>38</v>
      </c>
      <c r="N112" s="29">
        <v>67000</v>
      </c>
    </row>
    <row r="113" spans="1:14" ht="15.75">
      <c r="A113" s="27" t="s">
        <v>13</v>
      </c>
      <c r="B113" s="27" t="str">
        <f ca="1">PROPER(Tabela1[[#This Row],[nome]])</f>
        <v>Jon Marbrand</v>
      </c>
      <c r="C113" s="30" t="s">
        <v>291</v>
      </c>
      <c r="D113" s="3">
        <v>29</v>
      </c>
      <c r="E113" s="5">
        <v>35600</v>
      </c>
      <c r="F113" s="27" t="s">
        <v>163</v>
      </c>
      <c r="G113" s="27" t="s">
        <v>27</v>
      </c>
      <c r="H113" s="6">
        <v>10000</v>
      </c>
      <c r="I113" s="6">
        <v>25500</v>
      </c>
      <c r="J113" s="23" t="s">
        <v>38</v>
      </c>
      <c r="K113" s="3">
        <v>15</v>
      </c>
      <c r="L113" s="27" t="str">
        <f>IF(OR(J113="Sim",M113="Sim",I113/H113&gt;=2,N113/H113&gt;=5),"Alto",IF(OR(I113/H113&gt;=1,N113/H113&gt;=3,K113&gt;=30),"Médio","Baixo"))</f>
        <v>Alto</v>
      </c>
      <c r="M113" s="23" t="s">
        <v>38</v>
      </c>
      <c r="N113" s="29">
        <v>66000</v>
      </c>
    </row>
    <row r="114" spans="1:14" ht="15.75">
      <c r="A114" s="27" t="s">
        <v>19</v>
      </c>
      <c r="B114" s="27" t="str">
        <f ca="1">PROPER(Tabela1[[#This Row],[nome]])</f>
        <v>Asha Manderly</v>
      </c>
      <c r="C114" s="30" t="s">
        <v>369</v>
      </c>
      <c r="D114" s="3">
        <v>29</v>
      </c>
      <c r="E114" s="5">
        <v>35607</v>
      </c>
      <c r="F114" s="27" t="s">
        <v>92</v>
      </c>
      <c r="G114" s="27" t="s">
        <v>80</v>
      </c>
      <c r="H114" s="6">
        <v>13800</v>
      </c>
      <c r="I114" s="6">
        <v>41500</v>
      </c>
      <c r="J114" s="23" t="s">
        <v>38</v>
      </c>
      <c r="K114" s="3">
        <v>34</v>
      </c>
      <c r="L114" s="27" t="str">
        <f>IF(OR(J114="Sim",M114="Sim",I114/H114&gt;=2,N114/H114&gt;=5),"Alto",IF(OR(I114/H114&gt;=1,N114/H114&gt;=3,K114&gt;=30),"Médio","Baixo"))</f>
        <v>Alto</v>
      </c>
      <c r="M114" s="23" t="s">
        <v>38</v>
      </c>
      <c r="N114" s="29">
        <v>66000</v>
      </c>
    </row>
    <row r="115" spans="1:14" ht="15.75">
      <c r="A115" s="27" t="s">
        <v>13</v>
      </c>
      <c r="B115" s="27" t="str">
        <f ca="1">PROPER(Tabela1[[#This Row],[nome]])</f>
        <v>Bronn Bolton</v>
      </c>
      <c r="C115" s="30" t="s">
        <v>437</v>
      </c>
      <c r="D115" s="3">
        <v>26</v>
      </c>
      <c r="E115" s="5">
        <v>36619</v>
      </c>
      <c r="F115" s="27" t="s">
        <v>107</v>
      </c>
      <c r="G115" s="27" t="s">
        <v>77</v>
      </c>
      <c r="H115" s="6">
        <v>26800</v>
      </c>
      <c r="I115" s="6">
        <v>42500</v>
      </c>
      <c r="J115" s="23" t="s">
        <v>18</v>
      </c>
      <c r="K115" s="3">
        <v>29</v>
      </c>
      <c r="L115" s="27" t="str">
        <f>IF(OR(J115="Sim",M115="Sim",I115/H115&gt;=2,N115/H115&gt;=5),"Alto",IF(OR(I115/H115&gt;=1,N115/H115&gt;=3,K115&gt;=30),"Médio","Baixo"))</f>
        <v>Alto</v>
      </c>
      <c r="M115" s="23" t="s">
        <v>18</v>
      </c>
      <c r="N115" s="29">
        <v>66000</v>
      </c>
    </row>
    <row r="116" spans="1:14" ht="15.75">
      <c r="A116" s="27" t="s">
        <v>19</v>
      </c>
      <c r="B116" s="27" t="str">
        <f ca="1">PROPER(Tabela1[[#This Row],[nome]])</f>
        <v>Bronn Baratheon</v>
      </c>
      <c r="C116" s="30" t="s">
        <v>768</v>
      </c>
      <c r="D116" s="3">
        <v>48</v>
      </c>
      <c r="E116" s="5">
        <v>28446</v>
      </c>
      <c r="F116" s="27" t="s">
        <v>26</v>
      </c>
      <c r="G116" s="27" t="s">
        <v>27</v>
      </c>
      <c r="H116" s="6">
        <v>6900</v>
      </c>
      <c r="I116" s="6">
        <v>52500</v>
      </c>
      <c r="J116" s="23" t="s">
        <v>18</v>
      </c>
      <c r="K116" s="3">
        <v>0</v>
      </c>
      <c r="L116" s="27" t="str">
        <f>IF(OR(J116="Sim",M116="Sim",I116/H116&gt;=2,N116/H116&gt;=5),"Alto",IF(OR(I116/H116&gt;=1,N116/H116&gt;=3,K116&gt;=30),"Médio","Baixo"))</f>
        <v>Alto</v>
      </c>
      <c r="M116" s="23" t="s">
        <v>18</v>
      </c>
      <c r="N116" s="29">
        <v>66000</v>
      </c>
    </row>
    <row r="117" spans="1:14" ht="15.75">
      <c r="A117" s="27" t="s">
        <v>13</v>
      </c>
      <c r="B117" s="27" t="str">
        <f ca="1">PROPER(Tabela1[[#This Row],[nome]])</f>
        <v>Asha Baratheon</v>
      </c>
      <c r="C117" s="30" t="s">
        <v>180</v>
      </c>
      <c r="D117" s="3">
        <v>70</v>
      </c>
      <c r="E117" s="5">
        <v>20570</v>
      </c>
      <c r="F117" s="27" t="s">
        <v>65</v>
      </c>
      <c r="G117" s="27" t="s">
        <v>60</v>
      </c>
      <c r="H117" s="6">
        <v>16300</v>
      </c>
      <c r="I117" s="6">
        <v>16500</v>
      </c>
      <c r="J117" s="23" t="s">
        <v>38</v>
      </c>
      <c r="K117" s="3">
        <v>25</v>
      </c>
      <c r="L117" s="27" t="str">
        <f>IF(OR(J117="Sim",M117="Sim",I117/H117&gt;=2,N117/H117&gt;=5),"Alto",IF(OR(I117/H117&gt;=1,N117/H117&gt;=3,K117&gt;=30),"Médio","Baixo"))</f>
        <v>Médio</v>
      </c>
      <c r="M117" s="23" t="s">
        <v>38</v>
      </c>
      <c r="N117" s="29">
        <v>65500</v>
      </c>
    </row>
    <row r="118" spans="1:14" ht="15.75">
      <c r="A118" s="27" t="s">
        <v>19</v>
      </c>
      <c r="B118" s="27" t="str">
        <f ca="1">PROPER(Tabela1[[#This Row],[nome]])</f>
        <v>Loras Payne</v>
      </c>
      <c r="C118" s="30" t="s">
        <v>296</v>
      </c>
      <c r="D118" s="3">
        <v>30</v>
      </c>
      <c r="E118" s="5">
        <v>35200</v>
      </c>
      <c r="F118" s="27" t="s">
        <v>65</v>
      </c>
      <c r="G118" s="27" t="s">
        <v>60</v>
      </c>
      <c r="H118" s="6">
        <v>26500</v>
      </c>
      <c r="I118" s="6">
        <v>14500</v>
      </c>
      <c r="J118" s="23" t="s">
        <v>38</v>
      </c>
      <c r="K118" s="3">
        <v>15</v>
      </c>
      <c r="L118" s="27" t="str">
        <f>IF(OR(J118="Sim",M118="Sim",I118/H118&gt;=2,N118/H118&gt;=5),"Alto",IF(OR(I118/H118&gt;=1,N118/H118&gt;=3,K118&gt;=30),"Médio","Baixo"))</f>
        <v>Baixo</v>
      </c>
      <c r="M118" s="23" t="s">
        <v>38</v>
      </c>
      <c r="N118" s="29">
        <v>65500</v>
      </c>
    </row>
    <row r="119" spans="1:14" ht="15.75">
      <c r="A119" s="27" t="s">
        <v>19</v>
      </c>
      <c r="B119" s="27" t="str">
        <f ca="1">PROPER(Tabela1[[#This Row],[nome]])</f>
        <v>Jorah  Tyrell</v>
      </c>
      <c r="C119" s="30" t="s">
        <v>631</v>
      </c>
      <c r="D119" s="3">
        <v>48</v>
      </c>
      <c r="E119" s="5">
        <v>28737</v>
      </c>
      <c r="F119" s="27" t="s">
        <v>163</v>
      </c>
      <c r="G119" s="27" t="s">
        <v>27</v>
      </c>
      <c r="H119" s="6">
        <v>12400</v>
      </c>
      <c r="I119" s="8">
        <v>0</v>
      </c>
      <c r="J119" s="23" t="s">
        <v>38</v>
      </c>
      <c r="K119" s="3">
        <v>25</v>
      </c>
      <c r="L119" s="27" t="str">
        <f>IF(OR(J119="Sim",M119="Sim",I119/H119&gt;=2,N119/H119&gt;=5),"Alto",IF(OR(I119/H119&gt;=1,N119/H119&gt;=3,K119&gt;=30),"Médio","Baixo"))</f>
        <v>Alto</v>
      </c>
      <c r="M119" s="23" t="s">
        <v>38</v>
      </c>
      <c r="N119" s="29">
        <v>65500</v>
      </c>
    </row>
    <row r="120" spans="1:14" ht="15.75">
      <c r="A120" s="27" t="s">
        <v>13</v>
      </c>
      <c r="B120" s="27" t="str">
        <f ca="1">PROPER(Tabela1[[#This Row],[nome]])</f>
        <v>Jojen Florent</v>
      </c>
      <c r="C120" s="30" t="s">
        <v>36</v>
      </c>
      <c r="D120" s="3">
        <v>32</v>
      </c>
      <c r="E120" s="5">
        <v>34299</v>
      </c>
      <c r="F120" s="27" t="s">
        <v>16</v>
      </c>
      <c r="G120" s="27" t="s">
        <v>17</v>
      </c>
      <c r="H120" s="6">
        <v>30000</v>
      </c>
      <c r="I120" s="6" t="s">
        <v>768</v>
      </c>
      <c r="J120" s="23" t="s">
        <v>38</v>
      </c>
      <c r="K120" s="3">
        <v>5</v>
      </c>
      <c r="L120" s="27" t="s">
        <v>771</v>
      </c>
      <c r="M120" s="23" t="s">
        <v>38</v>
      </c>
      <c r="N120" s="29">
        <v>65000</v>
      </c>
    </row>
    <row r="121" spans="1:14" ht="15.75">
      <c r="A121" s="27" t="s">
        <v>13</v>
      </c>
      <c r="B121" s="27" t="str">
        <f ca="1">PROPER(Tabela1[[#This Row],[nome]])</f>
        <v>Beric Crakehall</v>
      </c>
      <c r="C121" s="30" t="s">
        <v>225</v>
      </c>
      <c r="D121" s="3">
        <v>55</v>
      </c>
      <c r="E121" s="5">
        <v>26104</v>
      </c>
      <c r="F121" s="27" t="s">
        <v>50</v>
      </c>
      <c r="G121" s="27" t="s">
        <v>70</v>
      </c>
      <c r="H121" s="6">
        <v>22100</v>
      </c>
      <c r="I121" s="6">
        <v>41500</v>
      </c>
      <c r="J121" s="23" t="s">
        <v>38</v>
      </c>
      <c r="K121" s="3">
        <v>18</v>
      </c>
      <c r="L121" s="27" t="str">
        <f>IF(OR(J121="Sim",M121="Sim",I121/H121&gt;=2,N121/H121&gt;=5),"Alto",IF(OR(I121/H121&gt;=1,N121/H121&gt;=3,K121&gt;=30),"Médio","Baixo"))</f>
        <v>Médio</v>
      </c>
      <c r="M121" s="23" t="s">
        <v>38</v>
      </c>
      <c r="N121" s="29">
        <v>65000</v>
      </c>
    </row>
    <row r="122" spans="1:14" ht="15.75">
      <c r="A122" s="27" t="s">
        <v>13</v>
      </c>
      <c r="B122" s="27" t="str">
        <f ca="1">PROPER(Tabela1[[#This Row],[nome]])</f>
        <v>Thoros Crakehall</v>
      </c>
      <c r="C122" s="30" t="s">
        <v>768</v>
      </c>
      <c r="D122" s="3">
        <v>74</v>
      </c>
      <c r="E122" s="5">
        <v>19131</v>
      </c>
      <c r="F122" s="27" t="s">
        <v>163</v>
      </c>
      <c r="G122" s="27" t="s">
        <v>27</v>
      </c>
      <c r="H122" s="6">
        <v>20700</v>
      </c>
      <c r="I122" s="6">
        <v>17500</v>
      </c>
      <c r="J122" s="23" t="s">
        <v>38</v>
      </c>
      <c r="K122" s="3">
        <v>35</v>
      </c>
      <c r="L122" s="27" t="str">
        <f>IF(OR(J122="Sim",M122="Sim",I122/H122&gt;=2,N122/H122&gt;=5),"Alto",IF(OR(I122/H122&gt;=1,N122/H122&gt;=3,K122&gt;=30),"Médio","Baixo"))</f>
        <v>Médio</v>
      </c>
      <c r="M122" s="23" t="s">
        <v>38</v>
      </c>
      <c r="N122" s="29">
        <v>65000</v>
      </c>
    </row>
    <row r="123" spans="1:14" ht="15.75">
      <c r="A123" s="27" t="s">
        <v>19</v>
      </c>
      <c r="B123" s="27" t="str">
        <f ca="1">PROPER(Tabela1[[#This Row],[nome]])</f>
        <v>Margaery Dondarrion</v>
      </c>
      <c r="C123" s="30" t="s">
        <v>768</v>
      </c>
      <c r="D123" s="3">
        <v>50</v>
      </c>
      <c r="E123" s="5">
        <v>27833</v>
      </c>
      <c r="F123" s="27" t="s">
        <v>76</v>
      </c>
      <c r="G123" s="27" t="s">
        <v>77</v>
      </c>
      <c r="H123" s="6">
        <v>16200</v>
      </c>
      <c r="I123" s="6">
        <v>25000</v>
      </c>
      <c r="J123" s="23" t="s">
        <v>38</v>
      </c>
      <c r="K123" s="3">
        <v>26</v>
      </c>
      <c r="L123" s="27" t="str">
        <f>IF(OR(J123="Sim",M123="Sim",I123/H123&gt;=2,N123/H123&gt;=5),"Alto",IF(OR(I123/H123&gt;=1,N123/H123&gt;=3,K123&gt;=30),"Médio","Baixo"))</f>
        <v>Médio</v>
      </c>
      <c r="M123" s="23" t="s">
        <v>38</v>
      </c>
      <c r="N123" s="29">
        <v>65000</v>
      </c>
    </row>
    <row r="124" spans="1:14" ht="15.75">
      <c r="A124" s="27" t="s">
        <v>13</v>
      </c>
      <c r="B124" s="27" t="str">
        <f ca="1">PROPER(Tabela1[[#This Row],[nome]])</f>
        <v>Varys Florent</v>
      </c>
      <c r="C124" s="30" t="s">
        <v>768</v>
      </c>
      <c r="D124" s="3">
        <v>57</v>
      </c>
      <c r="E124" s="5">
        <v>25238</v>
      </c>
      <c r="F124" s="27" t="s">
        <v>107</v>
      </c>
      <c r="G124" s="27" t="s">
        <v>77</v>
      </c>
      <c r="H124" s="6">
        <v>3200</v>
      </c>
      <c r="I124" s="6" t="s">
        <v>768</v>
      </c>
      <c r="J124" s="23" t="s">
        <v>38</v>
      </c>
      <c r="K124" s="3">
        <v>18</v>
      </c>
      <c r="L124" s="27" t="s">
        <v>769</v>
      </c>
      <c r="M124" s="23" t="s">
        <v>38</v>
      </c>
      <c r="N124" s="29">
        <v>64000</v>
      </c>
    </row>
    <row r="125" spans="1:14" ht="15.75">
      <c r="A125" s="27" t="s">
        <v>19</v>
      </c>
      <c r="B125" s="27" t="str">
        <f ca="1">PROPER(Tabela1[[#This Row],[nome]])</f>
        <v>Yara Payne</v>
      </c>
      <c r="C125" s="30" t="s">
        <v>401</v>
      </c>
      <c r="D125" s="3">
        <f ca="1">INT((TODAY()-E125)/365)</f>
        <v>22</v>
      </c>
      <c r="E125" s="5">
        <v>38001</v>
      </c>
      <c r="F125" s="27" t="s">
        <v>100</v>
      </c>
      <c r="G125" s="27" t="s">
        <v>80</v>
      </c>
      <c r="H125" s="6">
        <v>2100</v>
      </c>
      <c r="I125" s="6">
        <v>79500</v>
      </c>
      <c r="J125" s="23" t="s">
        <v>18</v>
      </c>
      <c r="K125" s="3">
        <v>29</v>
      </c>
      <c r="L125" s="27" t="str">
        <f>IF(OR(J125="Sim",M125="Sim",I125/H125&gt;=2,N125/H125&gt;=5),"Alto",IF(OR(I125/H125&gt;=1,N125/H125&gt;=3,K125&gt;=30),"Médio","Baixo"))</f>
        <v>Alto</v>
      </c>
      <c r="M125" s="23" t="s">
        <v>18</v>
      </c>
      <c r="N125" s="29">
        <v>64000</v>
      </c>
    </row>
    <row r="126" spans="1:14" ht="15.75">
      <c r="A126" s="27" t="s">
        <v>13</v>
      </c>
      <c r="B126" s="27" t="str">
        <f ca="1">PROPER(Tabela1[[#This Row],[nome]])</f>
        <v>Sandor Westerling</v>
      </c>
      <c r="C126" s="30" t="s">
        <v>768</v>
      </c>
      <c r="D126" s="3">
        <v>44</v>
      </c>
      <c r="E126" s="5">
        <v>30167</v>
      </c>
      <c r="F126" s="27" t="s">
        <v>86</v>
      </c>
      <c r="G126" s="27" t="s">
        <v>87</v>
      </c>
      <c r="H126" s="6">
        <v>5500</v>
      </c>
      <c r="I126" s="6">
        <v>26000</v>
      </c>
      <c r="J126" s="23" t="s">
        <v>38</v>
      </c>
      <c r="K126" s="3">
        <v>30</v>
      </c>
      <c r="L126" s="27" t="str">
        <f>IF(OR(J126="Sim",M126="Sim",I126/H126&gt;=2,N126/H126&gt;=5),"Alto",IF(OR(I126/H126&gt;=1,N126/H126&gt;=3,K126&gt;=30),"Médio","Baixo"))</f>
        <v>Alto</v>
      </c>
      <c r="M126" s="23" t="s">
        <v>38</v>
      </c>
      <c r="N126" s="29">
        <v>64000</v>
      </c>
    </row>
    <row r="127" spans="1:14" ht="15.75">
      <c r="A127" s="27" t="s">
        <v>19</v>
      </c>
      <c r="B127" s="27" t="str">
        <f ca="1">PROPER(Tabela1[[#This Row],[nome]])</f>
        <v>Yara Targaryen</v>
      </c>
      <c r="C127" s="30" t="s">
        <v>49</v>
      </c>
      <c r="D127" s="3">
        <v>42</v>
      </c>
      <c r="E127" s="5">
        <v>30810</v>
      </c>
      <c r="F127" s="27" t="s">
        <v>50</v>
      </c>
      <c r="G127" s="27" t="s">
        <v>70</v>
      </c>
      <c r="H127" s="6">
        <v>18200</v>
      </c>
      <c r="I127" s="6">
        <v>31000</v>
      </c>
      <c r="J127" s="23" t="s">
        <v>38</v>
      </c>
      <c r="K127" s="3">
        <v>19</v>
      </c>
      <c r="L127" s="27" t="str">
        <f>IF(OR(J127="Sim",M127="Sim",I127/H127&gt;=2,N127/H127&gt;=5),"Alto",IF(OR(I127/H127&gt;=1,N127/H127&gt;=3,K127&gt;=30),"Médio","Baixo"))</f>
        <v>Médio</v>
      </c>
      <c r="M127" s="23" t="s">
        <v>38</v>
      </c>
      <c r="N127" s="29">
        <v>63500</v>
      </c>
    </row>
    <row r="128" spans="1:14" ht="15.75">
      <c r="A128" s="27" t="s">
        <v>13</v>
      </c>
      <c r="B128" s="27" t="str">
        <f ca="1">PROPER(Tabela1[[#This Row],[nome]])</f>
        <v>Samwell Yronwood</v>
      </c>
      <c r="C128" s="30" t="s">
        <v>110</v>
      </c>
      <c r="D128" s="3">
        <v>29</v>
      </c>
      <c r="E128" s="5">
        <v>35323</v>
      </c>
      <c r="F128" s="27" t="s">
        <v>111</v>
      </c>
      <c r="G128" s="27" t="s">
        <v>87</v>
      </c>
      <c r="H128" s="6">
        <v>21200</v>
      </c>
      <c r="I128" s="6">
        <v>75000</v>
      </c>
      <c r="J128" s="23" t="s">
        <v>38</v>
      </c>
      <c r="K128" s="3">
        <v>6</v>
      </c>
      <c r="L128" s="27" t="str">
        <f>IF(OR(J128="Sim",M128="Sim",I128/H128&gt;=2,N128/H128&gt;=5),"Alto",IF(OR(I128/H128&gt;=1,N128/H128&gt;=3,K128&gt;=30),"Médio","Baixo"))</f>
        <v>Alto</v>
      </c>
      <c r="M128" s="23" t="s">
        <v>38</v>
      </c>
      <c r="N128" s="29">
        <v>63500</v>
      </c>
    </row>
    <row r="129" spans="1:14" ht="15.75">
      <c r="A129" s="27" t="s">
        <v>13</v>
      </c>
      <c r="B129" s="27" t="str">
        <f ca="1">PROPER(Tabela1[[#This Row],[nome]])</f>
        <v>Margaery Marbrand</v>
      </c>
      <c r="C129" s="30" t="s">
        <v>507</v>
      </c>
      <c r="D129" s="3">
        <v>22</v>
      </c>
      <c r="E129" s="5">
        <v>38079</v>
      </c>
      <c r="F129" s="27" t="s">
        <v>21</v>
      </c>
      <c r="G129" s="27" t="s">
        <v>22</v>
      </c>
      <c r="H129" s="6">
        <v>9200</v>
      </c>
      <c r="I129" s="6">
        <v>5000</v>
      </c>
      <c r="J129" s="23" t="s">
        <v>38</v>
      </c>
      <c r="K129" s="3">
        <v>42</v>
      </c>
      <c r="L129" s="27" t="str">
        <f>IF(OR(J129="Sim",M129="Sim",I129/H129&gt;=2,N129/H129&gt;=5),"Alto",IF(OR(I129/H129&gt;=1,N129/H129&gt;=3,K129&gt;=30),"Médio","Baixo"))</f>
        <v>Alto</v>
      </c>
      <c r="M129" s="23" t="s">
        <v>38</v>
      </c>
      <c r="N129" s="29">
        <v>63500</v>
      </c>
    </row>
    <row r="130" spans="1:14" ht="15.75">
      <c r="A130" s="27" t="s">
        <v>19</v>
      </c>
      <c r="B130" s="27" t="str">
        <f ca="1">PROPER(Tabela1[[#This Row],[nome]])</f>
        <v>Grey Worm Hornwood</v>
      </c>
      <c r="C130" s="30" t="s">
        <v>516</v>
      </c>
      <c r="D130" s="3">
        <v>26</v>
      </c>
      <c r="E130" s="5">
        <v>36540</v>
      </c>
      <c r="F130" s="27" t="s">
        <v>26</v>
      </c>
      <c r="G130" s="27" t="s">
        <v>27</v>
      </c>
      <c r="H130" s="6">
        <v>24000</v>
      </c>
      <c r="I130" s="6">
        <v>52000</v>
      </c>
      <c r="J130" s="23" t="s">
        <v>38</v>
      </c>
      <c r="K130" s="3">
        <v>30</v>
      </c>
      <c r="L130" s="27" t="str">
        <f>IF(OR(J130="Sim",M130="Sim",I130/H130&gt;=2,N130/H130&gt;=5),"Alto",IF(OR(I130/H130&gt;=1,N130/H130&gt;=3,K130&gt;=30),"Médio","Baixo"))</f>
        <v>Alto</v>
      </c>
      <c r="M130" s="23" t="s">
        <v>38</v>
      </c>
      <c r="N130" s="29">
        <v>62500</v>
      </c>
    </row>
    <row r="131" spans="1:14" ht="15.75">
      <c r="A131" s="27" t="s">
        <v>13</v>
      </c>
      <c r="B131" s="27" t="str">
        <f ca="1">PROPER(Tabela1[[#This Row],[nome]])</f>
        <v>Rhaegar Hornwood</v>
      </c>
      <c r="C131" s="30" t="s">
        <v>440</v>
      </c>
      <c r="D131" s="3">
        <v>30</v>
      </c>
      <c r="E131" s="5">
        <v>35109</v>
      </c>
      <c r="F131" s="27" t="s">
        <v>21</v>
      </c>
      <c r="G131" s="27" t="s">
        <v>22</v>
      </c>
      <c r="H131" s="6">
        <v>2600</v>
      </c>
      <c r="I131" s="6">
        <v>62000</v>
      </c>
      <c r="J131" s="23" t="s">
        <v>38</v>
      </c>
      <c r="K131" s="3">
        <v>22</v>
      </c>
      <c r="L131" s="27" t="str">
        <f>IF(OR(J131="Sim",M131="Sim",I131/H131&gt;=2,N131/H131&gt;=5),"Alto",IF(OR(I131/H131&gt;=1,N131/H131&gt;=3,K131&gt;=30),"Médio","Baixo"))</f>
        <v>Alto</v>
      </c>
      <c r="M131" s="23" t="s">
        <v>38</v>
      </c>
      <c r="N131" s="29">
        <v>62000</v>
      </c>
    </row>
    <row r="132" spans="1:14" ht="15.75">
      <c r="A132" s="27" t="s">
        <v>13</v>
      </c>
      <c r="B132" s="27" t="str">
        <f ca="1">PROPER(Tabela1[[#This Row],[nome]])</f>
        <v>Cersei Umber</v>
      </c>
      <c r="C132" s="30" t="s">
        <v>620</v>
      </c>
      <c r="D132" s="3">
        <v>62</v>
      </c>
      <c r="E132" s="5"/>
      <c r="F132" s="27" t="s">
        <v>111</v>
      </c>
      <c r="G132" s="27" t="s">
        <v>87</v>
      </c>
      <c r="H132" s="6">
        <v>1900</v>
      </c>
      <c r="I132" s="6">
        <v>3500</v>
      </c>
      <c r="J132" s="23" t="s">
        <v>38</v>
      </c>
      <c r="K132" s="3">
        <v>19</v>
      </c>
      <c r="L132" s="27" t="str">
        <f>IF(OR(J132="Sim",M132="Sim",I132/H132&gt;=2,N132/H132&gt;=5),"Alto",IF(OR(I132/H132&gt;=1,N132/H132&gt;=3,K132&gt;=30),"Médio","Baixo"))</f>
        <v>Alto</v>
      </c>
      <c r="M132" s="23" t="s">
        <v>38</v>
      </c>
      <c r="N132" s="29">
        <v>62000</v>
      </c>
    </row>
    <row r="133" spans="1:14" ht="15.75">
      <c r="A133" s="27" t="s">
        <v>13</v>
      </c>
      <c r="B133" s="27" t="str">
        <f ca="1">PROPER(Tabela1[[#This Row],[nome]])</f>
        <v>Meera Reed</v>
      </c>
      <c r="C133" s="30" t="s">
        <v>339</v>
      </c>
      <c r="D133" s="3">
        <v>53</v>
      </c>
      <c r="E133" s="5">
        <v>26584</v>
      </c>
      <c r="F133" s="27" t="s">
        <v>100</v>
      </c>
      <c r="G133" s="27" t="s">
        <v>80</v>
      </c>
      <c r="H133" s="6">
        <v>12200</v>
      </c>
      <c r="I133" s="6">
        <v>79500</v>
      </c>
      <c r="J133" s="23" t="s">
        <v>38</v>
      </c>
      <c r="K133" s="3">
        <v>45</v>
      </c>
      <c r="L133" s="27" t="str">
        <f>IF(OR(J133="Sim",M133="Sim",I133/H133&gt;=2,N133/H133&gt;=5),"Alto",IF(OR(I133/H133&gt;=1,N133/H133&gt;=3,K133&gt;=30),"Médio","Baixo"))</f>
        <v>Alto</v>
      </c>
      <c r="M133" s="23" t="s">
        <v>38</v>
      </c>
      <c r="N133" s="29">
        <v>62000</v>
      </c>
    </row>
    <row r="134" spans="1:14" ht="15.75">
      <c r="A134" s="27" t="s">
        <v>19</v>
      </c>
      <c r="B134" s="27" t="str">
        <f ca="1">PROPER(Tabela1[[#This Row],[nome]])</f>
        <v>Jeor Mallister</v>
      </c>
      <c r="C134" s="30" t="s">
        <v>75</v>
      </c>
      <c r="D134" s="3">
        <v>47</v>
      </c>
      <c r="E134" s="5">
        <v>29064</v>
      </c>
      <c r="F134" s="27" t="s">
        <v>76</v>
      </c>
      <c r="G134" s="27" t="s">
        <v>77</v>
      </c>
      <c r="H134" s="6">
        <v>13300</v>
      </c>
      <c r="I134" s="6">
        <v>1000</v>
      </c>
      <c r="J134" s="23" t="s">
        <v>18</v>
      </c>
      <c r="K134" s="3">
        <v>24</v>
      </c>
      <c r="L134" s="27" t="str">
        <f>IF(OR(J134="Sim",M134="Sim",I134/H134&gt;=2,N134/H134&gt;=5),"Alto",IF(OR(I134/H134&gt;=1,N134/H134&gt;=3,K134&gt;=30),"Médio","Baixo"))</f>
        <v>Alto</v>
      </c>
      <c r="M134" s="23" t="s">
        <v>18</v>
      </c>
      <c r="N134" s="29">
        <v>61500</v>
      </c>
    </row>
    <row r="135" spans="1:14" ht="15.75">
      <c r="A135" s="27" t="s">
        <v>13</v>
      </c>
      <c r="B135" s="27" t="str">
        <f ca="1">PROPER(Tabela1[[#This Row],[nome]])</f>
        <v>Margaery Manderly</v>
      </c>
      <c r="C135" s="30" t="s">
        <v>148</v>
      </c>
      <c r="D135" s="3">
        <v>63</v>
      </c>
      <c r="E135" s="5">
        <v>23231</v>
      </c>
      <c r="F135" s="27" t="s">
        <v>108</v>
      </c>
      <c r="G135" s="27" t="s">
        <v>80</v>
      </c>
      <c r="H135" s="6">
        <v>16800</v>
      </c>
      <c r="I135" s="8">
        <v>0</v>
      </c>
      <c r="J135" s="23" t="s">
        <v>768</v>
      </c>
      <c r="K135" s="3">
        <v>32</v>
      </c>
      <c r="L135" s="27" t="str">
        <f>IF(OR(J135="Sim",M135="Sim",I135/H135&gt;=2,N135/H135&gt;=5),"Alto",IF(OR(I135/H135&gt;=1,N135/H135&gt;=3,K135&gt;=30),"Médio","Baixo"))</f>
        <v>Médio</v>
      </c>
      <c r="M135" s="23" t="s">
        <v>768</v>
      </c>
      <c r="N135" s="29">
        <v>61500</v>
      </c>
    </row>
    <row r="136" spans="1:14" ht="15.75">
      <c r="A136" s="27" t="s">
        <v>13</v>
      </c>
      <c r="B136" s="27" t="str">
        <f ca="1">PROPER(Tabela1[[#This Row],[nome]])</f>
        <v>Varys Targaryen</v>
      </c>
      <c r="C136" s="30" t="s">
        <v>314</v>
      </c>
      <c r="D136" s="3">
        <v>46</v>
      </c>
      <c r="E136" s="5">
        <v>29197</v>
      </c>
      <c r="F136" s="27" t="s">
        <v>59</v>
      </c>
      <c r="G136" s="27" t="s">
        <v>60</v>
      </c>
      <c r="H136" s="6">
        <v>3200</v>
      </c>
      <c r="I136" s="8">
        <v>0</v>
      </c>
      <c r="J136" s="23" t="s">
        <v>38</v>
      </c>
      <c r="K136" s="3">
        <v>16</v>
      </c>
      <c r="L136" s="27" t="str">
        <f>IF(OR(J136="Sim",M136="Sim",I136/H136&gt;=2,N136/H136&gt;=5),"Alto",IF(OR(I136/H136&gt;=1,N136/H136&gt;=3,K136&gt;=30),"Médio","Baixo"))</f>
        <v>Alto</v>
      </c>
      <c r="M136" s="23" t="s">
        <v>38</v>
      </c>
      <c r="N136" s="29">
        <v>61500</v>
      </c>
    </row>
    <row r="137" spans="1:14" ht="15.75">
      <c r="A137" s="27" t="s">
        <v>13</v>
      </c>
      <c r="B137" s="27" t="str">
        <f ca="1">PROPER(Tabela1[[#This Row],[nome]])</f>
        <v>Beric Tyrell</v>
      </c>
      <c r="C137" s="30" t="s">
        <v>696</v>
      </c>
      <c r="D137" s="3">
        <v>20</v>
      </c>
      <c r="E137" s="5">
        <v>38957</v>
      </c>
      <c r="F137" s="27" t="s">
        <v>100</v>
      </c>
      <c r="G137" s="27" t="s">
        <v>80</v>
      </c>
      <c r="H137" s="6">
        <v>18200</v>
      </c>
      <c r="I137" s="6" t="s">
        <v>768</v>
      </c>
      <c r="J137" s="23" t="s">
        <v>38</v>
      </c>
      <c r="K137" s="3">
        <v>21</v>
      </c>
      <c r="L137" s="27" t="s">
        <v>770</v>
      </c>
      <c r="M137" s="23" t="s">
        <v>38</v>
      </c>
      <c r="N137" s="29">
        <v>61500</v>
      </c>
    </row>
    <row r="138" spans="1:14" ht="15.75">
      <c r="A138" s="27" t="s">
        <v>13</v>
      </c>
      <c r="B138" s="27" t="str">
        <f ca="1">PROPER(Tabela1[[#This Row],[nome]])</f>
        <v>Stannis Greyjoy</v>
      </c>
      <c r="C138" s="30" t="s">
        <v>556</v>
      </c>
      <c r="D138" s="3">
        <v>69</v>
      </c>
      <c r="E138" s="5">
        <v>20943</v>
      </c>
      <c r="F138" s="27" t="s">
        <v>26</v>
      </c>
      <c r="G138" s="27" t="s">
        <v>27</v>
      </c>
      <c r="H138" s="6">
        <v>13800</v>
      </c>
      <c r="I138" s="6">
        <v>62000</v>
      </c>
      <c r="J138" s="23" t="s">
        <v>38</v>
      </c>
      <c r="K138" s="3">
        <v>31</v>
      </c>
      <c r="L138" s="27" t="str">
        <f>IF(OR(J138="Sim",M138="Sim",I138/H138&gt;=2,N138/H138&gt;=5),"Alto",IF(OR(I138/H138&gt;=1,N138/H138&gt;=3,K138&gt;=30),"Médio","Baixo"))</f>
        <v>Alto</v>
      </c>
      <c r="M138" s="23" t="s">
        <v>38</v>
      </c>
      <c r="N138" s="29">
        <v>60500</v>
      </c>
    </row>
    <row r="139" spans="1:14" ht="15.75">
      <c r="A139" s="27" t="s">
        <v>13</v>
      </c>
      <c r="B139" s="27" t="str">
        <f ca="1">PROPER(Tabela1[[#This Row],[nome]])</f>
        <v>Thoros Yronwood</v>
      </c>
      <c r="C139" s="30" t="s">
        <v>653</v>
      </c>
      <c r="D139" s="3">
        <v>51</v>
      </c>
      <c r="E139" s="5">
        <v>27421</v>
      </c>
      <c r="F139" s="27" t="s">
        <v>122</v>
      </c>
      <c r="G139" s="27" t="s">
        <v>122</v>
      </c>
      <c r="H139" s="6">
        <v>26000</v>
      </c>
      <c r="I139" s="6">
        <v>47500</v>
      </c>
      <c r="J139" s="23" t="s">
        <v>38</v>
      </c>
      <c r="K139" s="3">
        <v>45</v>
      </c>
      <c r="L139" s="27" t="str">
        <f>IF(OR(J139="Sim",M139="Sim",I139/H139&gt;=2,N139/H139&gt;=5),"Alto",IF(OR(I139/H139&gt;=1,N139/H139&gt;=3,K139&gt;=30),"Médio","Baixo"))</f>
        <v>Médio</v>
      </c>
      <c r="M139" s="23" t="s">
        <v>38</v>
      </c>
      <c r="N139" s="29">
        <v>60500</v>
      </c>
    </row>
    <row r="140" spans="1:14" ht="15.75">
      <c r="A140" s="27" t="s">
        <v>13</v>
      </c>
      <c r="B140" s="27" t="str">
        <f ca="1">PROPER(Tabela1[[#This Row],[nome]])</f>
        <v>Renly Mallister</v>
      </c>
      <c r="C140" s="30" t="s">
        <v>221</v>
      </c>
      <c r="D140" s="3">
        <v>34</v>
      </c>
      <c r="E140" s="5">
        <v>33525</v>
      </c>
      <c r="F140" s="27" t="s">
        <v>108</v>
      </c>
      <c r="G140" s="27" t="s">
        <v>80</v>
      </c>
      <c r="H140" s="6">
        <v>28000</v>
      </c>
      <c r="I140" s="6">
        <v>36500</v>
      </c>
      <c r="J140" s="23" t="s">
        <v>38</v>
      </c>
      <c r="K140" s="3">
        <v>33</v>
      </c>
      <c r="L140" s="27" t="str">
        <f>IF(OR(J140="Sim",M140="Sim",I140/H140&gt;=2,N140/H140&gt;=5),"Alto",IF(OR(I140/H140&gt;=1,N140/H140&gt;=3,K140&gt;=30),"Médio","Baixo"))</f>
        <v>Médio</v>
      </c>
      <c r="M140" s="23" t="s">
        <v>38</v>
      </c>
      <c r="N140" s="29">
        <v>60000</v>
      </c>
    </row>
    <row r="141" spans="1:14" ht="15.75">
      <c r="A141" s="27" t="s">
        <v>13</v>
      </c>
      <c r="B141" s="27" t="str">
        <f ca="1">PROPER(Tabela1[[#This Row],[nome]])</f>
        <v>Rickon Karstark</v>
      </c>
      <c r="C141" s="30" t="s">
        <v>768</v>
      </c>
      <c r="D141" s="3">
        <f ca="1">INT((TODAY()-E141)/365)</f>
        <v>35</v>
      </c>
      <c r="E141" s="5">
        <v>33473</v>
      </c>
      <c r="F141" s="27" t="s">
        <v>183</v>
      </c>
      <c r="G141" s="27" t="s">
        <v>397</v>
      </c>
      <c r="H141" s="6">
        <v>24000</v>
      </c>
      <c r="I141" s="8">
        <v>0</v>
      </c>
      <c r="J141" s="23" t="s">
        <v>18</v>
      </c>
      <c r="K141" s="3">
        <v>3</v>
      </c>
      <c r="L141" s="27" t="str">
        <f>IF(OR(J141="Sim",M141="Sim",I141/H141&gt;=2,N141/H141&gt;=5),"Alto",IF(OR(I141/H141&gt;=1,N141/H141&gt;=3,K141&gt;=30),"Médio","Baixo"))</f>
        <v>Alto</v>
      </c>
      <c r="M141" s="23" t="s">
        <v>18</v>
      </c>
      <c r="N141" s="29">
        <v>60000</v>
      </c>
    </row>
    <row r="142" spans="1:14" ht="15.75">
      <c r="A142" s="27" t="s">
        <v>13</v>
      </c>
      <c r="B142" s="27" t="str">
        <f ca="1">PROPER(Tabela1[[#This Row],[nome]])</f>
        <v>Lyanna Florent</v>
      </c>
      <c r="C142" s="30" t="s">
        <v>768</v>
      </c>
      <c r="D142" s="3">
        <v>68</v>
      </c>
      <c r="E142" s="5"/>
      <c r="F142" s="27" t="s">
        <v>26</v>
      </c>
      <c r="G142" s="27" t="s">
        <v>27</v>
      </c>
      <c r="H142" s="6">
        <v>19900</v>
      </c>
      <c r="I142" s="6">
        <v>35000</v>
      </c>
      <c r="J142" s="23" t="s">
        <v>38</v>
      </c>
      <c r="K142" s="3">
        <v>25</v>
      </c>
      <c r="L142" s="27" t="str">
        <f>IF(OR(J142="Sim",M142="Sim",I142/H142&gt;=2,N142/H142&gt;=5),"Alto",IF(OR(I142/H142&gt;=1,N142/H142&gt;=3,K142&gt;=30),"Médio","Baixo"))</f>
        <v>Médio</v>
      </c>
      <c r="M142" s="23" t="s">
        <v>38</v>
      </c>
      <c r="N142" s="29">
        <v>59500</v>
      </c>
    </row>
    <row r="143" spans="1:14" ht="15.75">
      <c r="A143" s="27" t="s">
        <v>13</v>
      </c>
      <c r="B143" s="27" t="str">
        <f ca="1">PROPER(Tabela1[[#This Row],[nome]])</f>
        <v>Jorah Seaworth</v>
      </c>
      <c r="C143" s="30" t="s">
        <v>768</v>
      </c>
      <c r="D143" s="3">
        <v>66</v>
      </c>
      <c r="E143" s="5">
        <v>22151</v>
      </c>
      <c r="F143" s="27" t="s">
        <v>100</v>
      </c>
      <c r="G143" s="27" t="s">
        <v>80</v>
      </c>
      <c r="H143" s="6">
        <v>28800</v>
      </c>
      <c r="I143" s="6">
        <v>16000</v>
      </c>
      <c r="J143" s="23" t="s">
        <v>18</v>
      </c>
      <c r="K143" s="3">
        <v>44</v>
      </c>
      <c r="L143" s="27" t="str">
        <f>IF(OR(J143="Sim",M143="Sim",I143/H143&gt;=2,N143/H143&gt;=5),"Alto",IF(OR(I143/H143&gt;=1,N143/H143&gt;=3,K143&gt;=30),"Médio","Baixo"))</f>
        <v>Alto</v>
      </c>
      <c r="M143" s="23" t="s">
        <v>18</v>
      </c>
      <c r="N143" s="29">
        <v>59000</v>
      </c>
    </row>
    <row r="144" spans="1:14" ht="15.75">
      <c r="A144" s="27" t="s">
        <v>13</v>
      </c>
      <c r="B144" s="27" t="str">
        <f ca="1">PROPER(Tabela1[[#This Row],[nome]])</f>
        <v>Renly Bolton</v>
      </c>
      <c r="C144" s="30" t="s">
        <v>514</v>
      </c>
      <c r="D144" s="3">
        <v>24</v>
      </c>
      <c r="E144" s="5"/>
      <c r="F144" s="27" t="s">
        <v>79</v>
      </c>
      <c r="G144" s="27" t="s">
        <v>80</v>
      </c>
      <c r="H144" s="6">
        <v>29300</v>
      </c>
      <c r="I144" s="6">
        <v>32000</v>
      </c>
      <c r="J144" s="23" t="s">
        <v>18</v>
      </c>
      <c r="K144" s="3">
        <v>26</v>
      </c>
      <c r="L144" s="27" t="str">
        <f>IF(OR(J144="Sim",M144="Sim",I144/H144&gt;=2,N144/H144&gt;=5),"Alto",IF(OR(I144/H144&gt;=1,N144/H144&gt;=3,K144&gt;=30),"Médio","Baixo"))</f>
        <v>Alto</v>
      </c>
      <c r="M144" s="23" t="s">
        <v>18</v>
      </c>
      <c r="N144" s="29">
        <v>59000</v>
      </c>
    </row>
    <row r="145" spans="1:14" ht="15.75">
      <c r="A145" s="27" t="s">
        <v>13</v>
      </c>
      <c r="B145" s="27" t="str">
        <f ca="1">PROPER(Tabela1[[#This Row],[nome]])</f>
        <v>Varys Lannister</v>
      </c>
      <c r="C145" s="30" t="s">
        <v>707</v>
      </c>
      <c r="D145" s="3">
        <v>60</v>
      </c>
      <c r="E145" s="5">
        <v>24054</v>
      </c>
      <c r="F145" s="27" t="s">
        <v>16</v>
      </c>
      <c r="G145" s="27" t="s">
        <v>17</v>
      </c>
      <c r="H145" s="6">
        <v>22600</v>
      </c>
      <c r="I145" s="6">
        <v>80000</v>
      </c>
      <c r="J145" s="23" t="s">
        <v>38</v>
      </c>
      <c r="K145" s="3">
        <v>9</v>
      </c>
      <c r="L145" s="27" t="str">
        <f>IF(OR(J145="Sim",M145="Sim",I145/H145&gt;=2,N145/H145&gt;=5),"Alto",IF(OR(I145/H145&gt;=1,N145/H145&gt;=3,K145&gt;=30),"Médio","Baixo"))</f>
        <v>Alto</v>
      </c>
      <c r="M145" s="23" t="s">
        <v>38</v>
      </c>
      <c r="N145" s="29">
        <v>58500</v>
      </c>
    </row>
    <row r="146" spans="1:14" ht="15.75">
      <c r="A146" s="27" t="s">
        <v>13</v>
      </c>
      <c r="B146" s="27" t="str">
        <f ca="1">PROPER(Tabela1[[#This Row],[nome]])</f>
        <v>Robb Stark</v>
      </c>
      <c r="C146" s="30" t="s">
        <v>316</v>
      </c>
      <c r="D146" s="3">
        <v>65</v>
      </c>
      <c r="E146" s="5">
        <v>22505</v>
      </c>
      <c r="F146" s="27" t="s">
        <v>92</v>
      </c>
      <c r="G146" s="27" t="s">
        <v>80</v>
      </c>
      <c r="H146" s="6">
        <v>29000</v>
      </c>
      <c r="I146" s="6">
        <v>28500</v>
      </c>
      <c r="J146" s="23" t="s">
        <v>38</v>
      </c>
      <c r="K146" s="3">
        <v>28</v>
      </c>
      <c r="L146" s="27" t="str">
        <f>IF(OR(J146="Sim",M146="Sim",I146/H146&gt;=2,N146/H146&gt;=5),"Alto",IF(OR(I146/H146&gt;=1,N146/H146&gt;=3,K146&gt;=30),"Médio","Baixo"))</f>
        <v>Baixo</v>
      </c>
      <c r="M146" s="23" t="s">
        <v>38</v>
      </c>
      <c r="N146" s="29">
        <v>57500</v>
      </c>
    </row>
    <row r="147" spans="1:14" ht="15.75">
      <c r="A147" s="27" t="s">
        <v>13</v>
      </c>
      <c r="B147" s="27" t="str">
        <f ca="1">PROPER(Tabela1[[#This Row],[nome]])</f>
        <v>Brienne Royce</v>
      </c>
      <c r="C147" s="30" t="s">
        <v>768</v>
      </c>
      <c r="D147" s="3">
        <v>39</v>
      </c>
      <c r="E147" s="5">
        <v>31766</v>
      </c>
      <c r="F147" s="27" t="s">
        <v>86</v>
      </c>
      <c r="G147" s="27" t="s">
        <v>87</v>
      </c>
      <c r="H147" s="6">
        <v>24700</v>
      </c>
      <c r="I147" s="6">
        <v>23500</v>
      </c>
      <c r="J147" s="23" t="s">
        <v>38</v>
      </c>
      <c r="K147" s="3">
        <v>43</v>
      </c>
      <c r="L147" s="27" t="str">
        <f>IF(OR(J147="Sim",M147="Sim",I147/H147&gt;=2,N147/H147&gt;=5),"Alto",IF(OR(I147/H147&gt;=1,N147/H147&gt;=3,K147&gt;=30),"Médio","Baixo"))</f>
        <v>Médio</v>
      </c>
      <c r="M147" s="23" t="s">
        <v>38</v>
      </c>
      <c r="N147" s="29">
        <v>57000</v>
      </c>
    </row>
    <row r="148" spans="1:14" ht="15.75">
      <c r="A148" s="27" t="s">
        <v>13</v>
      </c>
      <c r="B148" s="27" t="str">
        <f ca="1">PROPER(Tabela1[[#This Row],[nome]])</f>
        <v>Yara Baelish</v>
      </c>
      <c r="C148" s="30" t="s">
        <v>768</v>
      </c>
      <c r="D148" s="3">
        <v>64</v>
      </c>
      <c r="E148" s="5">
        <v>22836</v>
      </c>
      <c r="F148" s="27" t="s">
        <v>243</v>
      </c>
      <c r="G148" s="27" t="s">
        <v>22</v>
      </c>
      <c r="H148" s="6">
        <v>24300</v>
      </c>
      <c r="I148" s="6">
        <v>16500</v>
      </c>
      <c r="J148" s="23" t="s">
        <v>18</v>
      </c>
      <c r="K148" s="3">
        <v>24</v>
      </c>
      <c r="L148" s="27" t="str">
        <f>IF(OR(J148="Sim",M148="Sim",I148/H148&gt;=2,N148/H148&gt;=5),"Alto",IF(OR(I148/H148&gt;=1,N148/H148&gt;=3,K148&gt;=30),"Médio","Baixo"))</f>
        <v>Alto</v>
      </c>
      <c r="M148" s="23" t="s">
        <v>18</v>
      </c>
      <c r="N148" s="29">
        <v>57000</v>
      </c>
    </row>
    <row r="149" spans="1:14" ht="15.75">
      <c r="A149" s="27" t="s">
        <v>13</v>
      </c>
      <c r="B149" s="27" t="str">
        <f ca="1">PROPER(Tabela1[[#This Row],[nome]])</f>
        <v>Meera Reed</v>
      </c>
      <c r="C149" s="30" t="s">
        <v>339</v>
      </c>
      <c r="D149" s="3">
        <v>53</v>
      </c>
      <c r="E149" s="5">
        <v>26584</v>
      </c>
      <c r="F149" s="27" t="s">
        <v>100</v>
      </c>
      <c r="G149" s="27" t="s">
        <v>80</v>
      </c>
      <c r="H149" s="6">
        <v>12200</v>
      </c>
      <c r="I149" s="6">
        <v>79500</v>
      </c>
      <c r="J149" s="23" t="s">
        <v>38</v>
      </c>
      <c r="K149" s="3">
        <v>45</v>
      </c>
      <c r="L149" s="27" t="str">
        <f>IF(OR(J149="Sim",M149="Sim",I149/H149&gt;=2,N149/H149&gt;=5),"Alto",IF(OR(I149/H149&gt;=1,N149/H149&gt;=3,K149&gt;=30),"Médio","Baixo"))</f>
        <v>Alto</v>
      </c>
      <c r="M149" s="23" t="s">
        <v>38</v>
      </c>
      <c r="N149" s="29">
        <v>57000</v>
      </c>
    </row>
    <row r="150" spans="1:14" ht="15.75">
      <c r="A150" s="27" t="s">
        <v>19</v>
      </c>
      <c r="B150" s="27" t="str">
        <f ca="1">PROPER(Tabela1[[#This Row],[nome]])</f>
        <v>Stannis  Cerwyn</v>
      </c>
      <c r="C150" s="30" t="s">
        <v>768</v>
      </c>
      <c r="D150" s="3">
        <v>35</v>
      </c>
      <c r="E150" s="5">
        <v>33204</v>
      </c>
      <c r="F150" s="27" t="s">
        <v>108</v>
      </c>
      <c r="G150" s="27" t="s">
        <v>80</v>
      </c>
      <c r="H150" s="6">
        <v>17600</v>
      </c>
      <c r="I150" s="6">
        <v>44000</v>
      </c>
      <c r="J150" s="23" t="s">
        <v>38</v>
      </c>
      <c r="K150" s="3">
        <v>22</v>
      </c>
      <c r="L150" s="27" t="str">
        <f>IF(OR(J150="Sim",M150="Sim",I150/H150&gt;=2,N150/H150&gt;=5),"Alto",IF(OR(I150/H150&gt;=1,N150/H150&gt;=3,K150&gt;=30),"Médio","Baixo"))</f>
        <v>Alto</v>
      </c>
      <c r="M150" s="23" t="s">
        <v>38</v>
      </c>
      <c r="N150" s="29">
        <v>56500</v>
      </c>
    </row>
    <row r="151" spans="1:14" ht="15.75">
      <c r="A151" s="27" t="s">
        <v>13</v>
      </c>
      <c r="B151" s="27" t="str">
        <f ca="1">PROPER(Tabela1[[#This Row],[nome]])</f>
        <v>Lyanna Seaworth</v>
      </c>
      <c r="C151" s="30" t="s">
        <v>505</v>
      </c>
      <c r="D151" s="3">
        <v>69</v>
      </c>
      <c r="E151" s="5"/>
      <c r="F151" s="27" t="s">
        <v>65</v>
      </c>
      <c r="G151" s="27" t="s">
        <v>60</v>
      </c>
      <c r="H151" s="6">
        <v>4500</v>
      </c>
      <c r="I151" s="8">
        <v>0</v>
      </c>
      <c r="J151" s="23" t="s">
        <v>18</v>
      </c>
      <c r="K151" s="3">
        <v>32</v>
      </c>
      <c r="L151" s="27" t="str">
        <f>IF(OR(J151="Sim",M151="Sim",I151/H151&gt;=2,N151/H151&gt;=5),"Alto",IF(OR(I151/H151&gt;=1,N151/H151&gt;=3,K151&gt;=30),"Médio","Baixo"))</f>
        <v>Alto</v>
      </c>
      <c r="M151" s="23" t="s">
        <v>18</v>
      </c>
      <c r="N151" s="29">
        <v>56500</v>
      </c>
    </row>
    <row r="152" spans="1:14" ht="15.75">
      <c r="A152" s="27" t="s">
        <v>13</v>
      </c>
      <c r="B152" s="27" t="str">
        <f ca="1">PROPER(Tabela1[[#This Row],[nome]])</f>
        <v>Rickon Karstark</v>
      </c>
      <c r="C152" s="30" t="s">
        <v>768</v>
      </c>
      <c r="D152" s="3">
        <v>26</v>
      </c>
      <c r="E152" s="5">
        <v>36573</v>
      </c>
      <c r="F152" s="27" t="s">
        <v>79</v>
      </c>
      <c r="G152" s="27" t="s">
        <v>80</v>
      </c>
      <c r="H152" s="6">
        <v>4800</v>
      </c>
      <c r="I152" s="6">
        <v>48500</v>
      </c>
      <c r="J152" s="23" t="s">
        <v>18</v>
      </c>
      <c r="K152" s="3">
        <v>6</v>
      </c>
      <c r="L152" s="27" t="str">
        <f>IF(OR(J152="Sim",M152="Sim",I152/H152&gt;=2,N152/H152&gt;=5),"Alto",IF(OR(I152/H152&gt;=1,N152/H152&gt;=3,K152&gt;=30),"Médio","Baixo"))</f>
        <v>Alto</v>
      </c>
      <c r="M152" s="23" t="s">
        <v>18</v>
      </c>
      <c r="N152" s="29">
        <v>56500</v>
      </c>
    </row>
    <row r="153" spans="1:14" ht="15.75">
      <c r="A153" s="27" t="s">
        <v>13</v>
      </c>
      <c r="B153" s="27" t="str">
        <f ca="1">PROPER(Tabela1[[#This Row],[nome]])</f>
        <v>Aegon Frey</v>
      </c>
      <c r="C153" s="30" t="s">
        <v>175</v>
      </c>
      <c r="D153" s="3">
        <v>56</v>
      </c>
      <c r="E153" s="5">
        <v>25525</v>
      </c>
      <c r="F153" s="27" t="s">
        <v>122</v>
      </c>
      <c r="G153" s="27" t="s">
        <v>122</v>
      </c>
      <c r="H153" s="6">
        <v>11100</v>
      </c>
      <c r="I153" s="6">
        <v>63000</v>
      </c>
      <c r="J153" s="23" t="s">
        <v>38</v>
      </c>
      <c r="K153" s="3">
        <v>0</v>
      </c>
      <c r="L153" s="27" t="str">
        <f>IF(OR(J153="Sim",M153="Sim",I153/H153&gt;=2,N153/H153&gt;=5),"Alto",IF(OR(I153/H153&gt;=1,N153/H153&gt;=3,K153&gt;=30),"Médio","Baixo"))</f>
        <v>Alto</v>
      </c>
      <c r="M153" s="23" t="s">
        <v>38</v>
      </c>
      <c r="N153" s="29">
        <v>56000</v>
      </c>
    </row>
    <row r="154" spans="1:14" ht="15.75">
      <c r="A154" s="27" t="s">
        <v>13</v>
      </c>
      <c r="B154" s="27" t="str">
        <f ca="1">PROPER(Tabela1[[#This Row],[nome]])</f>
        <v>Ramsay Dondarrion</v>
      </c>
      <c r="C154" s="30" t="s">
        <v>236</v>
      </c>
      <c r="D154" s="3">
        <v>55</v>
      </c>
      <c r="E154" s="5">
        <v>25874</v>
      </c>
      <c r="F154" s="27" t="s">
        <v>122</v>
      </c>
      <c r="G154" s="27" t="s">
        <v>237</v>
      </c>
      <c r="H154" s="6">
        <v>29100</v>
      </c>
      <c r="I154" s="6">
        <v>5500</v>
      </c>
      <c r="J154" s="23" t="s">
        <v>38</v>
      </c>
      <c r="K154" s="3">
        <v>11</v>
      </c>
      <c r="L154" s="27" t="str">
        <f>IF(OR(J154="Sim",M154="Sim",I154/H154&gt;=2,N154/H154&gt;=5),"Alto",IF(OR(I154/H154&gt;=1,N154/H154&gt;=3,K154&gt;=30),"Médio","Baixo"))</f>
        <v>Baixo</v>
      </c>
      <c r="M154" s="23" t="s">
        <v>38</v>
      </c>
      <c r="N154" s="29">
        <v>56000</v>
      </c>
    </row>
    <row r="155" spans="1:14" ht="15.75">
      <c r="A155" s="27" t="s">
        <v>13</v>
      </c>
      <c r="B155" s="27" t="str">
        <f ca="1">PROPER(Tabela1[[#This Row],[nome]])</f>
        <v>Grey Worm Dondarrion</v>
      </c>
      <c r="C155" s="30" t="s">
        <v>768</v>
      </c>
      <c r="D155" s="3">
        <v>38</v>
      </c>
      <c r="E155" s="5">
        <v>32066</v>
      </c>
      <c r="F155" s="27" t="s">
        <v>59</v>
      </c>
      <c r="G155" s="27" t="s">
        <v>60</v>
      </c>
      <c r="H155" s="6">
        <v>9700</v>
      </c>
      <c r="I155" s="6">
        <v>25000</v>
      </c>
      <c r="J155" s="23" t="s">
        <v>38</v>
      </c>
      <c r="K155" s="3">
        <v>0</v>
      </c>
      <c r="L155" s="27" t="str">
        <f>IF(OR(J155="Sim",M155="Sim",I155/H155&gt;=2,N155/H155&gt;=5),"Alto",IF(OR(I155/H155&gt;=1,N155/H155&gt;=3,K155&gt;=30),"Médio","Baixo"))</f>
        <v>Alto</v>
      </c>
      <c r="M155" s="23" t="s">
        <v>38</v>
      </c>
      <c r="N155" s="29">
        <v>55500</v>
      </c>
    </row>
    <row r="156" spans="1:14" ht="15.75">
      <c r="A156" s="27" t="s">
        <v>19</v>
      </c>
      <c r="B156" s="27" t="str">
        <f ca="1">PROPER(Tabela1[[#This Row],[nome]])</f>
        <v>Tyrion Clegane</v>
      </c>
      <c r="C156" s="30" t="s">
        <v>746</v>
      </c>
      <c r="D156" s="3">
        <v>51</v>
      </c>
      <c r="E156" s="5">
        <v>27590</v>
      </c>
      <c r="F156" s="27" t="s">
        <v>155</v>
      </c>
      <c r="G156" s="27" t="s">
        <v>87</v>
      </c>
      <c r="H156" s="6">
        <v>11400</v>
      </c>
      <c r="I156" s="8">
        <v>0</v>
      </c>
      <c r="J156" s="23" t="s">
        <v>38</v>
      </c>
      <c r="K156" s="3">
        <v>17</v>
      </c>
      <c r="L156" s="27" t="str">
        <f>IF(OR(J156="Sim",M156="Sim",I156/H156&gt;=2,N156/H156&gt;=5),"Alto",IF(OR(I156/H156&gt;=1,N156/H156&gt;=3,K156&gt;=30),"Médio","Baixo"))</f>
        <v>Médio</v>
      </c>
      <c r="M156" s="23" t="s">
        <v>38</v>
      </c>
      <c r="N156" s="29">
        <v>55500</v>
      </c>
    </row>
    <row r="157" spans="1:14" ht="15.75">
      <c r="A157" s="27" t="s">
        <v>19</v>
      </c>
      <c r="B157" s="27" t="str">
        <f ca="1">PROPER(Tabela1[[#This Row],[nome]])</f>
        <v>Beric Manderly</v>
      </c>
      <c r="C157" s="30" t="s">
        <v>768</v>
      </c>
      <c r="D157" s="3">
        <v>25</v>
      </c>
      <c r="E157" s="5">
        <v>37131</v>
      </c>
      <c r="F157" s="27" t="s">
        <v>41</v>
      </c>
      <c r="G157" s="27" t="s">
        <v>46</v>
      </c>
      <c r="H157" s="6">
        <v>24500</v>
      </c>
      <c r="I157" s="6" t="s">
        <v>768</v>
      </c>
      <c r="J157" s="23" t="s">
        <v>38</v>
      </c>
      <c r="K157" s="3">
        <v>0</v>
      </c>
      <c r="L157" s="27" t="s">
        <v>771</v>
      </c>
      <c r="M157" s="23" t="s">
        <v>38</v>
      </c>
      <c r="N157" s="29">
        <v>55000</v>
      </c>
    </row>
    <row r="158" spans="1:14" ht="15.75">
      <c r="A158" s="27" t="s">
        <v>13</v>
      </c>
      <c r="B158" s="27" t="str">
        <f ca="1">PROPER(Tabela1[[#This Row],[nome]])</f>
        <v>Renly Mormont</v>
      </c>
      <c r="C158" s="30" t="s">
        <v>350</v>
      </c>
      <c r="D158" s="3">
        <v>57</v>
      </c>
      <c r="E158" s="5">
        <v>25199</v>
      </c>
      <c r="F158" s="27" t="s">
        <v>86</v>
      </c>
      <c r="G158" s="27" t="s">
        <v>87</v>
      </c>
      <c r="H158" s="6">
        <v>20700</v>
      </c>
      <c r="I158" s="6">
        <v>64500</v>
      </c>
      <c r="J158" s="23" t="s">
        <v>38</v>
      </c>
      <c r="K158" s="3">
        <v>19</v>
      </c>
      <c r="L158" s="27" t="str">
        <f>IF(OR(J158="Sim",M158="Sim",I158/H158&gt;=2,N158/H158&gt;=5),"Alto",IF(OR(I158/H158&gt;=1,N158/H158&gt;=3,K158&gt;=30),"Médio","Baixo"))</f>
        <v>Alto</v>
      </c>
      <c r="M158" s="23" t="s">
        <v>38</v>
      </c>
      <c r="N158" s="29">
        <v>54500</v>
      </c>
    </row>
    <row r="159" spans="1:14" ht="15.75">
      <c r="A159" s="27" t="s">
        <v>13</v>
      </c>
      <c r="B159" s="27" t="str">
        <f ca="1">PROPER(Tabela1[[#This Row],[nome]])</f>
        <v>Shae Mormont</v>
      </c>
      <c r="C159" s="30" t="s">
        <v>524</v>
      </c>
      <c r="D159" s="3">
        <v>63</v>
      </c>
      <c r="E159" s="5">
        <v>22900</v>
      </c>
      <c r="F159" s="27" t="s">
        <v>122</v>
      </c>
      <c r="G159" s="27" t="s">
        <v>122</v>
      </c>
      <c r="H159" s="6">
        <v>5500</v>
      </c>
      <c r="I159" s="6">
        <v>41000</v>
      </c>
      <c r="J159" s="23" t="s">
        <v>38</v>
      </c>
      <c r="K159" s="3">
        <v>2</v>
      </c>
      <c r="L159" s="27" t="str">
        <f>IF(OR(J159="Sim",M159="Sim",I159/H159&gt;=2,N159/H159&gt;=5),"Alto",IF(OR(I159/H159&gt;=1,N159/H159&gt;=3,K159&gt;=30),"Médio","Baixo"))</f>
        <v>Alto</v>
      </c>
      <c r="M159" s="23" t="s">
        <v>38</v>
      </c>
      <c r="N159" s="29">
        <v>54500</v>
      </c>
    </row>
    <row r="160" spans="1:14" ht="15.75">
      <c r="A160" s="27" t="s">
        <v>19</v>
      </c>
      <c r="B160" s="27" t="str">
        <f ca="1">PROPER(Tabela1[[#This Row],[nome]])</f>
        <v>Roose Cerwyn</v>
      </c>
      <c r="C160" s="30" t="s">
        <v>768</v>
      </c>
      <c r="D160" s="3">
        <v>32</v>
      </c>
      <c r="E160" s="5">
        <v>34387</v>
      </c>
      <c r="F160" s="27" t="s">
        <v>79</v>
      </c>
      <c r="G160" s="27" t="s">
        <v>80</v>
      </c>
      <c r="H160" s="6">
        <v>20500</v>
      </c>
      <c r="I160" s="8">
        <v>0</v>
      </c>
      <c r="J160" s="23" t="s">
        <v>38</v>
      </c>
      <c r="K160" s="3">
        <v>41</v>
      </c>
      <c r="L160" s="27" t="str">
        <f>IF(OR(J160="Sim",M160="Sim",I160/H160&gt;=2,N160/H160&gt;=5),"Alto",IF(OR(I160/H160&gt;=1,N160/H160&gt;=3,K160&gt;=30),"Médio","Baixo"))</f>
        <v>Médio</v>
      </c>
      <c r="M160" s="23" t="s">
        <v>38</v>
      </c>
      <c r="N160" s="29">
        <v>54500</v>
      </c>
    </row>
    <row r="161" spans="1:14" ht="15.75">
      <c r="A161" s="27" t="s">
        <v>13</v>
      </c>
      <c r="B161" s="27" t="str">
        <f ca="1">PROPER(Tabela1[[#This Row],[nome]])</f>
        <v>Sandor Clegane</v>
      </c>
      <c r="C161" s="30" t="s">
        <v>714</v>
      </c>
      <c r="D161" s="3">
        <v>62</v>
      </c>
      <c r="E161" s="5">
        <v>23317</v>
      </c>
      <c r="F161" s="27" t="s">
        <v>108</v>
      </c>
      <c r="G161" s="27" t="s">
        <v>80</v>
      </c>
      <c r="H161" s="6">
        <v>10500</v>
      </c>
      <c r="I161" s="8">
        <v>0</v>
      </c>
      <c r="J161" s="23" t="s">
        <v>18</v>
      </c>
      <c r="K161" s="3">
        <v>4</v>
      </c>
      <c r="L161" s="27" t="str">
        <f>IF(OR(J161="Sim",M161="Sim",I161/H161&gt;=2,N161/H161&gt;=5),"Alto",IF(OR(I161/H161&gt;=1,N161/H161&gt;=3,K161&gt;=30),"Médio","Baixo"))</f>
        <v>Alto</v>
      </c>
      <c r="M161" s="23" t="s">
        <v>18</v>
      </c>
      <c r="N161" s="29">
        <v>54500</v>
      </c>
    </row>
    <row r="162" spans="1:14" ht="15.75">
      <c r="A162" s="27" t="s">
        <v>19</v>
      </c>
      <c r="B162" s="27" t="str">
        <f ca="1">PROPER(Tabela1[[#This Row],[nome]])</f>
        <v>Daario Cerwyn</v>
      </c>
      <c r="C162" s="30" t="s">
        <v>768</v>
      </c>
      <c r="D162" s="3">
        <v>60</v>
      </c>
      <c r="E162" s="5">
        <v>24091</v>
      </c>
      <c r="F162" s="27" t="s">
        <v>41</v>
      </c>
      <c r="G162" s="27" t="s">
        <v>46</v>
      </c>
      <c r="H162" s="6">
        <v>10100</v>
      </c>
      <c r="I162" s="6">
        <v>55000</v>
      </c>
      <c r="J162" s="23" t="s">
        <v>38</v>
      </c>
      <c r="K162" s="3">
        <v>26</v>
      </c>
      <c r="L162" s="27" t="str">
        <f>IF(OR(J162="Sim",M162="Sim",I162/H162&gt;=2,N162/H162&gt;=5),"Alto",IF(OR(I162/H162&gt;=1,N162/H162&gt;=3,K162&gt;=30),"Médio","Baixo"))</f>
        <v>Alto</v>
      </c>
      <c r="M162" s="23" t="s">
        <v>38</v>
      </c>
      <c r="N162" s="29">
        <v>54000</v>
      </c>
    </row>
    <row r="163" spans="1:14" ht="15.75">
      <c r="A163" s="27" t="s">
        <v>13</v>
      </c>
      <c r="B163" s="27" t="str">
        <f ca="1">PROPER(Tabela1[[#This Row],[nome]])</f>
        <v>Loras Manderly</v>
      </c>
      <c r="C163" s="30" t="s">
        <v>768</v>
      </c>
      <c r="D163" s="3">
        <v>38</v>
      </c>
      <c r="E163" s="5">
        <v>32152</v>
      </c>
      <c r="F163" s="27" t="s">
        <v>155</v>
      </c>
      <c r="G163" s="27" t="s">
        <v>87</v>
      </c>
      <c r="H163" s="6">
        <v>2000</v>
      </c>
      <c r="I163" s="6">
        <v>60000</v>
      </c>
      <c r="J163" s="23" t="s">
        <v>38</v>
      </c>
      <c r="K163" s="3">
        <v>18</v>
      </c>
      <c r="L163" s="27" t="str">
        <f>IF(OR(J163="Sim",M163="Sim",I163/H163&gt;=2,N163/H163&gt;=5),"Alto",IF(OR(I163/H163&gt;=1,N163/H163&gt;=3,K163&gt;=30),"Médio","Baixo"))</f>
        <v>Alto</v>
      </c>
      <c r="M163" s="23" t="s">
        <v>38</v>
      </c>
      <c r="N163" s="29">
        <v>54000</v>
      </c>
    </row>
    <row r="164" spans="1:14" ht="15.75">
      <c r="A164" s="27" t="s">
        <v>13</v>
      </c>
      <c r="B164" s="27" t="str">
        <f ca="1">PROPER(Tabela1[[#This Row],[nome]])</f>
        <v>Jeor Florent</v>
      </c>
      <c r="C164" s="30" t="s">
        <v>125</v>
      </c>
      <c r="D164" s="3">
        <v>27</v>
      </c>
      <c r="E164" s="5">
        <v>36319</v>
      </c>
      <c r="F164" s="27" t="s">
        <v>21</v>
      </c>
      <c r="G164" s="27" t="s">
        <v>22</v>
      </c>
      <c r="H164" s="6">
        <v>28800</v>
      </c>
      <c r="I164" s="6">
        <v>78500</v>
      </c>
      <c r="J164" s="23" t="s">
        <v>38</v>
      </c>
      <c r="K164" s="3">
        <v>2</v>
      </c>
      <c r="L164" s="27" t="str">
        <f>IF(OR(J164="Sim",M164="Sim",I164/H164&gt;=2,N164/H164&gt;=5),"Alto",IF(OR(I164/H164&gt;=1,N164/H164&gt;=3,K164&gt;=30),"Médio","Baixo"))</f>
        <v>Alto</v>
      </c>
      <c r="M164" s="23" t="s">
        <v>38</v>
      </c>
      <c r="N164" s="29">
        <v>53000</v>
      </c>
    </row>
    <row r="165" spans="1:14" ht="15.75">
      <c r="A165" s="27" t="s">
        <v>13</v>
      </c>
      <c r="B165" s="27" t="str">
        <f ca="1">PROPER(Tabela1[[#This Row],[nome]])</f>
        <v>Yara  Marbrand</v>
      </c>
      <c r="C165" s="30" t="s">
        <v>536</v>
      </c>
      <c r="D165" s="3">
        <v>70</v>
      </c>
      <c r="E165" s="5">
        <v>20533</v>
      </c>
      <c r="F165" s="27" t="s">
        <v>183</v>
      </c>
      <c r="G165" s="27" t="s">
        <v>397</v>
      </c>
      <c r="H165" s="6">
        <v>9100</v>
      </c>
      <c r="I165" s="6">
        <v>40500</v>
      </c>
      <c r="J165" s="23" t="s">
        <v>38</v>
      </c>
      <c r="K165" s="3">
        <v>35</v>
      </c>
      <c r="L165" s="27" t="str">
        <f>IF(OR(J165="Sim",M165="Sim",I165/H165&gt;=2,N165/H165&gt;=5),"Alto",IF(OR(I165/H165&gt;=1,N165/H165&gt;=3,K165&gt;=30),"Médio","Baixo"))</f>
        <v>Alto</v>
      </c>
      <c r="M165" s="23" t="s">
        <v>38</v>
      </c>
      <c r="N165" s="29">
        <v>53000</v>
      </c>
    </row>
    <row r="166" spans="1:14" ht="15.75">
      <c r="A166" s="27" t="s">
        <v>13</v>
      </c>
      <c r="B166" s="27" t="str">
        <f ca="1">PROPER(Tabela1[[#This Row],[nome]])</f>
        <v>Ellaria Redwyne</v>
      </c>
      <c r="C166" s="30" t="s">
        <v>582</v>
      </c>
      <c r="D166" s="3">
        <v>56</v>
      </c>
      <c r="E166" s="5">
        <v>25551</v>
      </c>
      <c r="F166" s="27" t="s">
        <v>122</v>
      </c>
      <c r="G166" s="27" t="s">
        <v>122</v>
      </c>
      <c r="H166" s="6">
        <v>22600</v>
      </c>
      <c r="I166" s="6">
        <v>63000</v>
      </c>
      <c r="J166" s="23" t="s">
        <v>38</v>
      </c>
      <c r="K166" s="3">
        <v>33</v>
      </c>
      <c r="L166" s="27" t="str">
        <f>IF(OR(J166="Sim",M166="Sim",I166/H166&gt;=2,N166/H166&gt;=5),"Alto",IF(OR(I166/H166&gt;=1,N166/H166&gt;=3,K166&gt;=30),"Médio","Baixo"))</f>
        <v>Alto</v>
      </c>
      <c r="M166" s="23" t="s">
        <v>38</v>
      </c>
      <c r="N166" s="29">
        <v>53000</v>
      </c>
    </row>
    <row r="167" spans="1:14" ht="15.75">
      <c r="A167" s="27" t="s">
        <v>13</v>
      </c>
      <c r="B167" s="27" t="str">
        <f ca="1">PROPER(Tabela1[[#This Row],[nome]])</f>
        <v>Petyr Yronwood</v>
      </c>
      <c r="C167" s="30" t="s">
        <v>622</v>
      </c>
      <c r="D167" s="3">
        <v>61</v>
      </c>
      <c r="E167" s="5">
        <v>23964</v>
      </c>
      <c r="F167" s="27" t="s">
        <v>92</v>
      </c>
      <c r="G167" s="27" t="s">
        <v>80</v>
      </c>
      <c r="H167" s="6">
        <v>7000</v>
      </c>
      <c r="I167" s="6">
        <v>1500</v>
      </c>
      <c r="J167" s="23" t="s">
        <v>18</v>
      </c>
      <c r="K167" s="3">
        <v>32</v>
      </c>
      <c r="L167" s="27" t="str">
        <f>IF(OR(J167="Sim",M167="Sim",I167/H167&gt;=2,N167/H167&gt;=5),"Alto",IF(OR(I167/H167&gt;=1,N167/H167&gt;=3,K167&gt;=30),"Médio","Baixo"))</f>
        <v>Alto</v>
      </c>
      <c r="M167" s="23" t="s">
        <v>18</v>
      </c>
      <c r="N167" s="29">
        <v>53000</v>
      </c>
    </row>
    <row r="168" spans="1:14" ht="15.75">
      <c r="A168" s="27" t="s">
        <v>13</v>
      </c>
      <c r="B168" s="27" t="str">
        <f ca="1">PROPER(Tabela1[[#This Row],[nome]])</f>
        <v>Jon Baelish</v>
      </c>
      <c r="C168" s="30" t="s">
        <v>768</v>
      </c>
      <c r="D168" s="3">
        <v>67</v>
      </c>
      <c r="E168" s="5">
        <v>21689</v>
      </c>
      <c r="F168" s="27" t="s">
        <v>59</v>
      </c>
      <c r="G168" s="27" t="s">
        <v>60</v>
      </c>
      <c r="H168" s="6">
        <v>10700</v>
      </c>
      <c r="I168" s="6">
        <v>9000</v>
      </c>
      <c r="J168" s="23" t="s">
        <v>38</v>
      </c>
      <c r="K168" s="3">
        <v>37</v>
      </c>
      <c r="L168" s="27" t="str">
        <f>IF(OR(J168="Sim",M168="Sim",I168/H168&gt;=2,N168/H168&gt;=5),"Alto",IF(OR(I168/H168&gt;=1,N168/H168&gt;=3,K168&gt;=30),"Médio","Baixo"))</f>
        <v>Médio</v>
      </c>
      <c r="M168" s="23" t="s">
        <v>38</v>
      </c>
      <c r="N168" s="29">
        <v>53000</v>
      </c>
    </row>
    <row r="169" spans="1:14" ht="15.75">
      <c r="A169" s="27" t="s">
        <v>19</v>
      </c>
      <c r="B169" s="27" t="str">
        <f ca="1">PROPER(Tabela1[[#This Row],[nome]])</f>
        <v>Ellaria Tarly</v>
      </c>
      <c r="C169" s="30" t="s">
        <v>196</v>
      </c>
      <c r="D169" s="3">
        <v>67</v>
      </c>
      <c r="E169" s="5">
        <v>21512</v>
      </c>
      <c r="F169" s="27" t="s">
        <v>65</v>
      </c>
      <c r="G169" s="27" t="s">
        <v>60</v>
      </c>
      <c r="H169" s="6">
        <v>3200</v>
      </c>
      <c r="I169" s="6">
        <v>6500</v>
      </c>
      <c r="J169" s="23" t="s">
        <v>38</v>
      </c>
      <c r="K169" s="3">
        <v>20</v>
      </c>
      <c r="L169" s="27" t="str">
        <f>IF(OR(J169="Sim",M169="Sim",I169/H169&gt;=2,N169/H169&gt;=5),"Alto",IF(OR(I169/H169&gt;=1,N169/H169&gt;=3,K169&gt;=30),"Médio","Baixo"))</f>
        <v>Alto</v>
      </c>
      <c r="M169" s="23" t="s">
        <v>38</v>
      </c>
      <c r="N169" s="29">
        <v>52500</v>
      </c>
    </row>
    <row r="170" spans="1:14" ht="15.75">
      <c r="A170" s="27" t="s">
        <v>13</v>
      </c>
      <c r="B170" s="27" t="str">
        <f ca="1">PROPER(Tabela1[[#This Row],[nome]])</f>
        <v>Olenna Reed</v>
      </c>
      <c r="C170" s="30" t="s">
        <v>264</v>
      </c>
      <c r="D170" s="3">
        <v>40</v>
      </c>
      <c r="E170" s="5">
        <v>31408</v>
      </c>
      <c r="F170" s="27" t="s">
        <v>65</v>
      </c>
      <c r="G170" s="27" t="s">
        <v>60</v>
      </c>
      <c r="H170" s="6">
        <v>17400</v>
      </c>
      <c r="I170" s="6">
        <v>53000</v>
      </c>
      <c r="J170" s="23" t="s">
        <v>18</v>
      </c>
      <c r="K170" s="3">
        <v>20</v>
      </c>
      <c r="L170" s="27" t="str">
        <f>IF(OR(J170="Sim",M170="Sim",I170/H170&gt;=2,N170/H170&gt;=5),"Alto",IF(OR(I170/H170&gt;=1,N170/H170&gt;=3,K170&gt;=30),"Médio","Baixo"))</f>
        <v>Alto</v>
      </c>
      <c r="M170" s="23" t="s">
        <v>18</v>
      </c>
      <c r="N170" s="29">
        <v>52500</v>
      </c>
    </row>
    <row r="171" spans="1:14" ht="15.75">
      <c r="A171" s="27" t="s">
        <v>13</v>
      </c>
      <c r="B171" s="27" t="str">
        <f ca="1">PROPER(Tabela1[[#This Row],[nome]])</f>
        <v>Bran Bolton</v>
      </c>
      <c r="C171" s="30" t="s">
        <v>521</v>
      </c>
      <c r="D171" s="3">
        <v>23</v>
      </c>
      <c r="E171" s="5">
        <v>37785</v>
      </c>
      <c r="F171" s="27" t="s">
        <v>163</v>
      </c>
      <c r="G171" s="27" t="s">
        <v>27</v>
      </c>
      <c r="H171" s="6">
        <v>17900</v>
      </c>
      <c r="I171" s="6">
        <v>28000</v>
      </c>
      <c r="J171" s="23" t="s">
        <v>38</v>
      </c>
      <c r="K171" s="3">
        <v>41</v>
      </c>
      <c r="L171" s="27" t="str">
        <f>IF(OR(J171="Sim",M171="Sim",I171/H171&gt;=2,N171/H171&gt;=5),"Alto",IF(OR(I171/H171&gt;=1,N171/H171&gt;=3,K171&gt;=30),"Médio","Baixo"))</f>
        <v>Médio</v>
      </c>
      <c r="M171" s="23" t="s">
        <v>38</v>
      </c>
      <c r="N171" s="29">
        <v>52500</v>
      </c>
    </row>
    <row r="172" spans="1:14" ht="15.75">
      <c r="A172" s="27" t="s">
        <v>13</v>
      </c>
      <c r="B172" s="27" t="str">
        <f ca="1">PROPER(Tabela1[[#This Row],[nome]])</f>
        <v>Rickon Frey</v>
      </c>
      <c r="C172" s="30" t="s">
        <v>729</v>
      </c>
      <c r="D172" s="3">
        <v>60</v>
      </c>
      <c r="E172" s="5">
        <v>24202</v>
      </c>
      <c r="F172" s="27" t="s">
        <v>243</v>
      </c>
      <c r="G172" s="27" t="s">
        <v>22</v>
      </c>
      <c r="H172" s="6">
        <v>5500</v>
      </c>
      <c r="I172" s="8">
        <v>0</v>
      </c>
      <c r="J172" s="23" t="s">
        <v>38</v>
      </c>
      <c r="K172" s="3">
        <v>26</v>
      </c>
      <c r="L172" s="27" t="str">
        <f>IF(OR(J172="Sim",M172="Sim",I172/H172&gt;=2,N172/H172&gt;=5),"Alto",IF(OR(I172/H172&gt;=1,N172/H172&gt;=3,K172&gt;=30),"Médio","Baixo"))</f>
        <v>Alto</v>
      </c>
      <c r="M172" s="23" t="s">
        <v>38</v>
      </c>
      <c r="N172" s="29">
        <v>52500</v>
      </c>
    </row>
    <row r="173" spans="1:14" ht="15.75">
      <c r="A173" s="27" t="s">
        <v>13</v>
      </c>
      <c r="B173" s="27" t="str">
        <f ca="1">PROPER(Tabela1[[#This Row],[nome]])</f>
        <v>Thoros  Frey</v>
      </c>
      <c r="C173" s="30" t="s">
        <v>723</v>
      </c>
      <c r="D173" s="3">
        <v>55</v>
      </c>
      <c r="E173" s="5">
        <v>25844</v>
      </c>
      <c r="F173" s="27" t="s">
        <v>111</v>
      </c>
      <c r="G173" s="27" t="s">
        <v>87</v>
      </c>
      <c r="H173" s="6">
        <v>17400</v>
      </c>
      <c r="I173" s="6">
        <v>75500</v>
      </c>
      <c r="J173" s="23" t="s">
        <v>38</v>
      </c>
      <c r="K173" s="3">
        <v>9</v>
      </c>
      <c r="L173" s="27" t="str">
        <f>IF(OR(J173="Sim",M173="Sim",I173/H173&gt;=2,N173/H173&gt;=5),"Alto",IF(OR(I173/H173&gt;=1,N173/H173&gt;=3,K173&gt;=30),"Médio","Baixo"))</f>
        <v>Alto</v>
      </c>
      <c r="M173" s="23" t="s">
        <v>38</v>
      </c>
      <c r="N173" s="29">
        <v>52000</v>
      </c>
    </row>
    <row r="174" spans="1:14" ht="15.75">
      <c r="A174" s="27" t="s">
        <v>13</v>
      </c>
      <c r="B174" s="27" t="str">
        <f ca="1">PROPER(Tabela1[[#This Row],[nome]])</f>
        <v>Theon Frey</v>
      </c>
      <c r="C174" s="30" t="s">
        <v>733</v>
      </c>
      <c r="D174" s="3">
        <v>19</v>
      </c>
      <c r="E174" s="5">
        <v>39209</v>
      </c>
      <c r="F174" s="27" t="s">
        <v>155</v>
      </c>
      <c r="G174" s="27" t="s">
        <v>87</v>
      </c>
      <c r="H174" s="6">
        <v>7200</v>
      </c>
      <c r="I174" s="6">
        <v>16000</v>
      </c>
      <c r="J174" s="23" t="s">
        <v>38</v>
      </c>
      <c r="K174" s="3">
        <v>5</v>
      </c>
      <c r="L174" s="27" t="str">
        <f>IF(OR(J174="Sim",M174="Sim",I174/H174&gt;=2,N174/H174&gt;=5),"Alto",IF(OR(I174/H174&gt;=1,N174/H174&gt;=3,K174&gt;=30),"Médio","Baixo"))</f>
        <v>Alto</v>
      </c>
      <c r="M174" s="23" t="s">
        <v>38</v>
      </c>
      <c r="N174" s="29">
        <v>52000</v>
      </c>
    </row>
    <row r="175" spans="1:14" ht="15.75">
      <c r="A175" s="27" t="s">
        <v>13</v>
      </c>
      <c r="B175" s="27" t="str">
        <f ca="1">PROPER(Tabela1[[#This Row],[nome]])</f>
        <v>Asha Hornwood</v>
      </c>
      <c r="C175" s="30" t="s">
        <v>25</v>
      </c>
      <c r="D175" s="3">
        <v>33</v>
      </c>
      <c r="E175" s="5">
        <v>34144</v>
      </c>
      <c r="F175" s="27" t="s">
        <v>26</v>
      </c>
      <c r="G175" s="27" t="s">
        <v>27</v>
      </c>
      <c r="H175" s="6">
        <v>21500</v>
      </c>
      <c r="I175" s="6" t="s">
        <v>768</v>
      </c>
      <c r="J175" s="23" t="s">
        <v>38</v>
      </c>
      <c r="K175" s="3">
        <v>22</v>
      </c>
      <c r="L175" s="27" t="s">
        <v>770</v>
      </c>
      <c r="M175" s="23" t="s">
        <v>38</v>
      </c>
      <c r="N175" s="29">
        <v>51500</v>
      </c>
    </row>
    <row r="176" spans="1:14" ht="15.75">
      <c r="A176" s="27" t="s">
        <v>13</v>
      </c>
      <c r="B176" s="27" t="str">
        <f ca="1">PROPER(Tabela1[[#This Row],[nome]])</f>
        <v>Ellaria Mormont</v>
      </c>
      <c r="C176" s="30" t="s">
        <v>371</v>
      </c>
      <c r="D176" s="3">
        <v>22</v>
      </c>
      <c r="E176" s="5">
        <v>37904</v>
      </c>
      <c r="F176" s="27" t="s">
        <v>21</v>
      </c>
      <c r="G176" s="27" t="s">
        <v>22</v>
      </c>
      <c r="H176" s="6">
        <v>2300</v>
      </c>
      <c r="I176" s="8">
        <v>0</v>
      </c>
      <c r="J176" s="23" t="s">
        <v>18</v>
      </c>
      <c r="K176" s="3">
        <v>29</v>
      </c>
      <c r="L176" s="27" t="str">
        <f>IF(OR(J176="Sim",M176="Sim",I176/H176&gt;=2,N176/H176&gt;=5),"Alto",IF(OR(I176/H176&gt;=1,N176/H176&gt;=3,K176&gt;=30),"Médio","Baixo"))</f>
        <v>Alto</v>
      </c>
      <c r="M176" s="23" t="s">
        <v>18</v>
      </c>
      <c r="N176" s="29">
        <v>51500</v>
      </c>
    </row>
    <row r="177" spans="1:14" ht="15.75">
      <c r="A177" s="27" t="s">
        <v>19</v>
      </c>
      <c r="B177" s="27" t="str">
        <f ca="1">PROPER(Tabela1[[#This Row],[nome]])</f>
        <v>Renly Redwyne</v>
      </c>
      <c r="C177" s="30" t="s">
        <v>454</v>
      </c>
      <c r="D177" s="3">
        <v>66</v>
      </c>
      <c r="E177" s="5">
        <v>21954</v>
      </c>
      <c r="F177" s="27" t="s">
        <v>163</v>
      </c>
      <c r="G177" s="27" t="s">
        <v>27</v>
      </c>
      <c r="H177" s="6">
        <v>3400</v>
      </c>
      <c r="I177" s="6">
        <v>78000</v>
      </c>
      <c r="J177" s="23" t="s">
        <v>38</v>
      </c>
      <c r="K177" s="3">
        <v>9</v>
      </c>
      <c r="L177" s="27" t="str">
        <f>IF(OR(J177="Sim",M177="Sim",I177/H177&gt;=2,N177/H177&gt;=5),"Alto",IF(OR(I177/H177&gt;=1,N177/H177&gt;=3,K177&gt;=30),"Médio","Baixo"))</f>
        <v>Alto</v>
      </c>
      <c r="M177" s="23" t="s">
        <v>38</v>
      </c>
      <c r="N177" s="29">
        <v>51500</v>
      </c>
    </row>
    <row r="178" spans="1:14" ht="15.75">
      <c r="A178" s="27" t="s">
        <v>13</v>
      </c>
      <c r="B178" s="27" t="str">
        <f ca="1">PROPER(Tabela1[[#This Row],[nome]])</f>
        <v>Jorah Florent</v>
      </c>
      <c r="C178" s="30" t="s">
        <v>672</v>
      </c>
      <c r="D178" s="3">
        <v>49</v>
      </c>
      <c r="E178" s="5">
        <v>28147</v>
      </c>
      <c r="F178" s="27" t="s">
        <v>163</v>
      </c>
      <c r="G178" s="27" t="s">
        <v>27</v>
      </c>
      <c r="H178" s="6">
        <v>28400</v>
      </c>
      <c r="I178" s="6">
        <v>38500</v>
      </c>
      <c r="J178" s="23" t="s">
        <v>38</v>
      </c>
      <c r="K178" s="3">
        <v>26</v>
      </c>
      <c r="L178" s="27" t="str">
        <f>IF(OR(J178="Sim",M178="Sim",I178/H178&gt;=2,N178/H178&gt;=5),"Alto",IF(OR(I178/H178&gt;=1,N178/H178&gt;=3,K178&gt;=30),"Médio","Baixo"))</f>
        <v>Médio</v>
      </c>
      <c r="M178" s="23" t="s">
        <v>38</v>
      </c>
      <c r="N178" s="29">
        <v>51000</v>
      </c>
    </row>
    <row r="179" spans="1:14" ht="15.75">
      <c r="A179" s="27" t="s">
        <v>13</v>
      </c>
      <c r="B179" s="27" t="str">
        <f ca="1">PROPER(Tabela1[[#This Row],[nome]])</f>
        <v>Melisandre Cerwyn</v>
      </c>
      <c r="C179" s="30" t="s">
        <v>720</v>
      </c>
      <c r="D179" s="3">
        <v>29</v>
      </c>
      <c r="E179" s="5">
        <v>35392</v>
      </c>
      <c r="F179" s="27" t="s">
        <v>183</v>
      </c>
      <c r="G179" s="27" t="s">
        <v>397</v>
      </c>
      <c r="H179" s="6">
        <v>6400</v>
      </c>
      <c r="I179" s="6">
        <v>19500</v>
      </c>
      <c r="J179" s="23" t="s">
        <v>38</v>
      </c>
      <c r="K179" s="3">
        <v>30</v>
      </c>
      <c r="L179" s="27" t="str">
        <f>IF(OR(J179="Sim",M179="Sim",I179/H179&gt;=2,N179/H179&gt;=5),"Alto",IF(OR(I179/H179&gt;=1,N179/H179&gt;=3,K179&gt;=30),"Médio","Baixo"))</f>
        <v>Alto</v>
      </c>
      <c r="M179" s="23" t="s">
        <v>38</v>
      </c>
      <c r="N179" s="29">
        <v>51000</v>
      </c>
    </row>
    <row r="180" spans="1:14" ht="15.75">
      <c r="A180" s="27" t="s">
        <v>13</v>
      </c>
      <c r="B180" s="27" t="str">
        <f ca="1">PROPER(Tabela1[[#This Row],[nome]])</f>
        <v>Rickon Karstark</v>
      </c>
      <c r="C180" s="30" t="s">
        <v>278</v>
      </c>
      <c r="D180" s="3">
        <v>74</v>
      </c>
      <c r="E180" s="5">
        <v>19121</v>
      </c>
      <c r="F180" s="27" t="s">
        <v>79</v>
      </c>
      <c r="G180" s="27" t="s">
        <v>80</v>
      </c>
      <c r="H180" s="6">
        <v>7300</v>
      </c>
      <c r="I180" s="6">
        <v>1000</v>
      </c>
      <c r="J180" s="23" t="s">
        <v>38</v>
      </c>
      <c r="K180" s="3">
        <v>3</v>
      </c>
      <c r="L180" s="27" t="str">
        <f>IF(OR(J180="Sim",M180="Sim",I180/H180&gt;=2,N180/H180&gt;=5),"Alto",IF(OR(I180/H180&gt;=1,N180/H180&gt;=3,K180&gt;=30),"Médio","Baixo"))</f>
        <v>Alto</v>
      </c>
      <c r="M180" s="23" t="s">
        <v>38</v>
      </c>
      <c r="N180" s="29">
        <v>50500</v>
      </c>
    </row>
    <row r="181" spans="1:14" ht="15.75">
      <c r="A181" s="27" t="s">
        <v>19</v>
      </c>
      <c r="B181" s="27" t="str">
        <f ca="1">PROPER(Tabela1[[#This Row],[nome]])</f>
        <v>Theon Tarth</v>
      </c>
      <c r="C181" s="30" t="s">
        <v>483</v>
      </c>
      <c r="D181" s="3">
        <v>74</v>
      </c>
      <c r="E181" s="5">
        <v>19073</v>
      </c>
      <c r="F181" s="27" t="s">
        <v>41</v>
      </c>
      <c r="G181" s="27" t="s">
        <v>46</v>
      </c>
      <c r="H181" s="6">
        <v>7100</v>
      </c>
      <c r="I181" s="6">
        <v>61500</v>
      </c>
      <c r="J181" s="23" t="s">
        <v>38</v>
      </c>
      <c r="K181" s="3">
        <v>1</v>
      </c>
      <c r="L181" s="27" t="str">
        <f>IF(OR(J181="Sim",M181="Sim",I181/H181&gt;=2,N181/H181&gt;=5),"Alto",IF(OR(I181/H181&gt;=1,N181/H181&gt;=3,K181&gt;=30),"Médio","Baixo"))</f>
        <v>Alto</v>
      </c>
      <c r="M181" s="23" t="s">
        <v>38</v>
      </c>
      <c r="N181" s="29">
        <v>50500</v>
      </c>
    </row>
    <row r="182" spans="1:14" ht="15.75">
      <c r="A182" s="27" t="s">
        <v>13</v>
      </c>
      <c r="B182" s="27" t="str">
        <f ca="1">PROPER(Tabela1[[#This Row],[nome]])</f>
        <v>Rhaegar Mormont</v>
      </c>
      <c r="C182" s="30" t="s">
        <v>670</v>
      </c>
      <c r="D182" s="3">
        <v>64</v>
      </c>
      <c r="E182" s="5">
        <v>22845</v>
      </c>
      <c r="F182" s="27" t="s">
        <v>100</v>
      </c>
      <c r="G182" s="27" t="s">
        <v>80</v>
      </c>
      <c r="H182" s="6">
        <v>12700</v>
      </c>
      <c r="I182" s="8">
        <v>0</v>
      </c>
      <c r="J182" s="23" t="s">
        <v>38</v>
      </c>
      <c r="K182" s="3">
        <v>21</v>
      </c>
      <c r="L182" s="27" t="str">
        <f>IF(OR(J182="Sim",M182="Sim",I182/H182&gt;=2,N182/H182&gt;=5),"Alto",IF(OR(I182/H182&gt;=1,N182/H182&gt;=3,K182&gt;=30),"Médio","Baixo"))</f>
        <v>Médio</v>
      </c>
      <c r="M182" s="23" t="s">
        <v>38</v>
      </c>
      <c r="N182" s="29">
        <v>50500</v>
      </c>
    </row>
    <row r="183" spans="1:14" ht="15.75">
      <c r="A183" s="27" t="s">
        <v>19</v>
      </c>
      <c r="B183" s="27" t="str">
        <f ca="1">PROPER(Tabela1[[#This Row],[nome]])</f>
        <v>Yara Tallhart</v>
      </c>
      <c r="C183" s="30" t="s">
        <v>768</v>
      </c>
      <c r="D183" s="3">
        <v>57</v>
      </c>
      <c r="E183" s="5">
        <v>25206</v>
      </c>
      <c r="F183" s="27" t="s">
        <v>76</v>
      </c>
      <c r="G183" s="27" t="s">
        <v>77</v>
      </c>
      <c r="H183" s="6">
        <v>3400</v>
      </c>
      <c r="I183" s="6">
        <v>23500</v>
      </c>
      <c r="J183" s="23" t="s">
        <v>38</v>
      </c>
      <c r="K183" s="3">
        <v>20</v>
      </c>
      <c r="L183" s="27" t="str">
        <f>IF(OR(J183="Sim",M183="Sim",I183/H183&gt;=2,N183/H183&gt;=5),"Alto",IF(OR(I183/H183&gt;=1,N183/H183&gt;=3,K183&gt;=30),"Médio","Baixo"))</f>
        <v>Alto</v>
      </c>
      <c r="M183" s="23" t="s">
        <v>38</v>
      </c>
      <c r="N183" s="29">
        <v>50500</v>
      </c>
    </row>
    <row r="184" spans="1:14" ht="15.75">
      <c r="A184" s="27" t="s">
        <v>13</v>
      </c>
      <c r="B184" s="27" t="str">
        <f ca="1">PROPER(Tabela1[[#This Row],[nome]])</f>
        <v>Arya Redwyne</v>
      </c>
      <c r="C184" s="30" t="s">
        <v>159</v>
      </c>
      <c r="D184" s="3">
        <v>21</v>
      </c>
      <c r="E184" s="5">
        <v>38323</v>
      </c>
      <c r="F184" s="27" t="s">
        <v>76</v>
      </c>
      <c r="G184" s="27" t="s">
        <v>77</v>
      </c>
      <c r="H184" s="6">
        <v>3800</v>
      </c>
      <c r="I184" s="8">
        <v>0</v>
      </c>
      <c r="J184" s="23" t="s">
        <v>38</v>
      </c>
      <c r="K184" s="3">
        <v>25</v>
      </c>
      <c r="L184" s="27" t="str">
        <f>IF(OR(J184="Sim",M184="Sim",I184/H184&gt;=2,N184/H184&gt;=5),"Alto",IF(OR(I184/H184&gt;=1,N184/H184&gt;=3,K184&gt;=30),"Médio","Baixo"))</f>
        <v>Alto</v>
      </c>
      <c r="M184" s="23" t="s">
        <v>38</v>
      </c>
      <c r="N184" s="29">
        <v>50000</v>
      </c>
    </row>
    <row r="185" spans="1:14" ht="15.75">
      <c r="A185" s="27" t="s">
        <v>13</v>
      </c>
      <c r="B185" s="27" t="str">
        <f ca="1">PROPER(Tabela1[[#This Row],[nome]])</f>
        <v>Thoros Greyjoy</v>
      </c>
      <c r="C185" s="30" t="s">
        <v>604</v>
      </c>
      <c r="D185" s="3">
        <v>67</v>
      </c>
      <c r="E185" s="5">
        <v>21573</v>
      </c>
      <c r="F185" s="27" t="s">
        <v>183</v>
      </c>
      <c r="G185" s="27" t="s">
        <v>397</v>
      </c>
      <c r="H185" s="6">
        <v>6400</v>
      </c>
      <c r="I185" s="6">
        <v>1000</v>
      </c>
      <c r="J185" s="23" t="s">
        <v>38</v>
      </c>
      <c r="K185" s="3">
        <v>27</v>
      </c>
      <c r="L185" s="27" t="str">
        <f>IF(OR(J185="Sim",M185="Sim",I185/H185&gt;=2,N185/H185&gt;=5),"Alto",IF(OR(I185/H185&gt;=1,N185/H185&gt;=3,K185&gt;=30),"Médio","Baixo"))</f>
        <v>Alto</v>
      </c>
      <c r="M185" s="23" t="s">
        <v>38</v>
      </c>
      <c r="N185" s="29">
        <v>50000</v>
      </c>
    </row>
    <row r="186" spans="1:14" ht="15.75">
      <c r="A186" s="27" t="s">
        <v>13</v>
      </c>
      <c r="B186" s="27" t="str">
        <f ca="1">PROPER(Tabela1[[#This Row],[nome]])</f>
        <v>Rickon Lannister</v>
      </c>
      <c r="C186" s="30" t="s">
        <v>464</v>
      </c>
      <c r="D186" s="3">
        <v>53</v>
      </c>
      <c r="E186" s="5">
        <v>26898</v>
      </c>
      <c r="F186" s="27" t="s">
        <v>100</v>
      </c>
      <c r="G186" s="27" t="s">
        <v>80</v>
      </c>
      <c r="H186" s="6">
        <v>27100</v>
      </c>
      <c r="I186" s="6">
        <v>68000</v>
      </c>
      <c r="J186" s="23" t="s">
        <v>38</v>
      </c>
      <c r="K186" s="3">
        <v>40</v>
      </c>
      <c r="L186" s="27" t="str">
        <f>IF(OR(J186="Sim",M186="Sim",I186/H186&gt;=2,N186/H186&gt;=5),"Alto",IF(OR(I186/H186&gt;=1,N186/H186&gt;=3,K186&gt;=30),"Médio","Baixo"))</f>
        <v>Alto</v>
      </c>
      <c r="M186" s="23" t="s">
        <v>38</v>
      </c>
      <c r="N186" s="29">
        <v>49500</v>
      </c>
    </row>
    <row r="187" spans="1:14" ht="15.75">
      <c r="A187" s="27" t="s">
        <v>19</v>
      </c>
      <c r="B187" s="27" t="str">
        <f ca="1">PROPER(Tabela1[[#This Row],[nome]])</f>
        <v>Melisandre Crakehall</v>
      </c>
      <c r="C187" s="30" t="s">
        <v>526</v>
      </c>
      <c r="D187" s="3">
        <v>31</v>
      </c>
      <c r="E187" s="5">
        <v>34885</v>
      </c>
      <c r="F187" s="27" t="s">
        <v>26</v>
      </c>
      <c r="G187" s="27" t="s">
        <v>27</v>
      </c>
      <c r="H187" s="6">
        <v>16400</v>
      </c>
      <c r="I187" s="6">
        <v>45500</v>
      </c>
      <c r="J187" s="23" t="s">
        <v>38</v>
      </c>
      <c r="K187" s="3">
        <v>6</v>
      </c>
      <c r="L187" s="27" t="str">
        <f>IF(OR(J187="Sim",M187="Sim",I187/H187&gt;=2,N187/H187&gt;=5),"Alto",IF(OR(I187/H187&gt;=1,N187/H187&gt;=3,K187&gt;=30),"Médio","Baixo"))</f>
        <v>Alto</v>
      </c>
      <c r="M187" s="23" t="s">
        <v>38</v>
      </c>
      <c r="N187" s="29">
        <v>49500</v>
      </c>
    </row>
    <row r="188" spans="1:14" ht="15.75">
      <c r="A188" s="27" t="s">
        <v>13</v>
      </c>
      <c r="B188" s="27" t="str">
        <f ca="1">PROPER(Tabela1[[#This Row],[nome]])</f>
        <v>Sandor Dondarrion</v>
      </c>
      <c r="C188" s="30" t="s">
        <v>768</v>
      </c>
      <c r="D188" s="3">
        <v>20</v>
      </c>
      <c r="E188" s="5">
        <v>38894</v>
      </c>
      <c r="F188" s="27" t="s">
        <v>92</v>
      </c>
      <c r="G188" s="27" t="s">
        <v>80</v>
      </c>
      <c r="H188" s="6">
        <v>24900</v>
      </c>
      <c r="I188" s="8">
        <v>0</v>
      </c>
      <c r="J188" s="23" t="s">
        <v>18</v>
      </c>
      <c r="K188" s="3">
        <v>14</v>
      </c>
      <c r="L188" s="27" t="str">
        <f>IF(OR(J188="Sim",M188="Sim",I188/H188&gt;=2,N188/H188&gt;=5),"Alto",IF(OR(I188/H188&gt;=1,N188/H188&gt;=3,K188&gt;=30),"Médio","Baixo"))</f>
        <v>Alto</v>
      </c>
      <c r="M188" s="23" t="s">
        <v>18</v>
      </c>
      <c r="N188" s="29">
        <v>49500</v>
      </c>
    </row>
    <row r="189" spans="1:14" ht="15.75">
      <c r="A189" s="27" t="s">
        <v>13</v>
      </c>
      <c r="B189" s="27" t="str">
        <f ca="1">PROPER(Tabela1[[#This Row],[nome]])</f>
        <v>Robert Tarth</v>
      </c>
      <c r="C189" s="30" t="s">
        <v>532</v>
      </c>
      <c r="D189" s="3">
        <v>27</v>
      </c>
      <c r="E189" s="5">
        <v>36288</v>
      </c>
      <c r="F189" s="27" t="s">
        <v>108</v>
      </c>
      <c r="G189" s="27" t="s">
        <v>80</v>
      </c>
      <c r="H189" s="6">
        <v>29700</v>
      </c>
      <c r="I189" s="6">
        <v>12000</v>
      </c>
      <c r="J189" s="23" t="s">
        <v>38</v>
      </c>
      <c r="K189" s="3">
        <v>37</v>
      </c>
      <c r="L189" s="27" t="str">
        <f>IF(OR(J189="Sim",M189="Sim",I189/H189&gt;=2,N189/H189&gt;=5),"Alto",IF(OR(I189/H189&gt;=1,N189/H189&gt;=3,K189&gt;=30),"Médio","Baixo"))</f>
        <v>Médio</v>
      </c>
      <c r="M189" s="23" t="s">
        <v>38</v>
      </c>
      <c r="N189" s="29">
        <v>49000</v>
      </c>
    </row>
    <row r="190" spans="1:14" ht="15.75">
      <c r="A190" s="27" t="s">
        <v>19</v>
      </c>
      <c r="B190" s="27" t="str">
        <f ca="1">PROPER(Tabela1[[#This Row],[nome]])</f>
        <v>Melisandre Baratheon</v>
      </c>
      <c r="C190" s="30" t="s">
        <v>540</v>
      </c>
      <c r="D190" s="3">
        <v>58</v>
      </c>
      <c r="E190" s="5">
        <v>25054</v>
      </c>
      <c r="F190" s="27" t="s">
        <v>163</v>
      </c>
      <c r="G190" s="27" t="s">
        <v>27</v>
      </c>
      <c r="H190" s="6">
        <v>4500</v>
      </c>
      <c r="I190" s="6">
        <v>20000</v>
      </c>
      <c r="J190" s="23" t="s">
        <v>18</v>
      </c>
      <c r="K190" s="3">
        <v>9</v>
      </c>
      <c r="L190" s="27" t="str">
        <f>IF(OR(J190="Sim",M190="Sim",I190/H190&gt;=2,N190/H190&gt;=5),"Alto",IF(OR(I190/H190&gt;=1,N190/H190&gt;=3,K190&gt;=30),"Médio","Baixo"))</f>
        <v>Alto</v>
      </c>
      <c r="M190" s="23" t="s">
        <v>18</v>
      </c>
      <c r="N190" s="29">
        <v>49000</v>
      </c>
    </row>
    <row r="191" spans="1:14" ht="15.75">
      <c r="A191" s="27" t="s">
        <v>13</v>
      </c>
      <c r="B191" s="27" t="str">
        <f ca="1">PROPER(Tabela1[[#This Row],[nome]])</f>
        <v>Bran Dayne</v>
      </c>
      <c r="C191" s="30" t="s">
        <v>171</v>
      </c>
      <c r="D191" s="3">
        <v>48</v>
      </c>
      <c r="E191" s="5">
        <v>28430</v>
      </c>
      <c r="F191" s="27" t="s">
        <v>50</v>
      </c>
      <c r="G191" s="27" t="s">
        <v>70</v>
      </c>
      <c r="H191" s="6">
        <v>4500</v>
      </c>
      <c r="I191" s="8">
        <v>0</v>
      </c>
      <c r="J191" s="23" t="s">
        <v>38</v>
      </c>
      <c r="K191" s="3">
        <v>3</v>
      </c>
      <c r="L191" s="27" t="str">
        <f>IF(OR(J191="Sim",M191="Sim",I191/H191&gt;=2,N191/H191&gt;=5),"Alto",IF(OR(I191/H191&gt;=1,N191/H191&gt;=3,K191&gt;=30),"Médio","Baixo"))</f>
        <v>Alto</v>
      </c>
      <c r="M191" s="23" t="s">
        <v>38</v>
      </c>
      <c r="N191" s="29">
        <v>48500</v>
      </c>
    </row>
    <row r="192" spans="1:14" ht="15.75">
      <c r="A192" s="27"/>
      <c r="B192" s="27" t="str">
        <f ca="1">PROPER(Tabela1[[#This Row],[nome]])</f>
        <v>Gilly Swyft</v>
      </c>
      <c r="C192" s="30" t="s">
        <v>676</v>
      </c>
      <c r="D192" s="3">
        <f ca="1">INT((TODAY()-E192)/365)</f>
        <v>35</v>
      </c>
      <c r="E192" s="5">
        <v>33188</v>
      </c>
      <c r="F192" s="27" t="s">
        <v>65</v>
      </c>
      <c r="G192" s="27" t="s">
        <v>60</v>
      </c>
      <c r="H192" s="6">
        <v>29900</v>
      </c>
      <c r="I192" s="6">
        <v>64500</v>
      </c>
      <c r="J192" s="23" t="s">
        <v>38</v>
      </c>
      <c r="K192" s="3">
        <v>34</v>
      </c>
      <c r="L192" s="27" t="str">
        <f>IF(OR(J192="Sim",M192="Sim",I192/H192&gt;=2,N192/H192&gt;=5),"Alto",IF(OR(I192/H192&gt;=1,N192/H192&gt;=3,K192&gt;=30),"Médio","Baixo"))</f>
        <v>Alto</v>
      </c>
      <c r="M192" s="23" t="s">
        <v>38</v>
      </c>
      <c r="N192" s="29">
        <v>48500</v>
      </c>
    </row>
    <row r="193" spans="1:14" ht="15.75">
      <c r="A193" s="27" t="s">
        <v>19</v>
      </c>
      <c r="B193" s="27" t="str">
        <f ca="1">PROPER(Tabela1[[#This Row],[nome]])</f>
        <v>Varys Tallhart</v>
      </c>
      <c r="C193" s="30" t="s">
        <v>768</v>
      </c>
      <c r="D193" s="3">
        <v>61</v>
      </c>
      <c r="E193" s="5">
        <v>23932</v>
      </c>
      <c r="F193" s="27" t="s">
        <v>76</v>
      </c>
      <c r="G193" s="27" t="s">
        <v>77</v>
      </c>
      <c r="H193" s="6">
        <v>4100</v>
      </c>
      <c r="I193" s="6">
        <v>78000</v>
      </c>
      <c r="J193" s="23" t="s">
        <v>38</v>
      </c>
      <c r="K193" s="3">
        <v>25</v>
      </c>
      <c r="L193" s="27" t="str">
        <f>IF(OR(J193="Sim",M193="Sim",I193/H193&gt;=2,N193/H193&gt;=5),"Alto",IF(OR(I193/H193&gt;=1,N193/H193&gt;=3,K193&gt;=30),"Médio","Baixo"))</f>
        <v>Alto</v>
      </c>
      <c r="M193" s="23" t="s">
        <v>38</v>
      </c>
      <c r="N193" s="29">
        <v>48000</v>
      </c>
    </row>
    <row r="194" spans="1:14" ht="15.75">
      <c r="A194" s="27" t="s">
        <v>13</v>
      </c>
      <c r="B194" s="27" t="str">
        <f ca="1">PROPER(Tabela1[[#This Row],[nome]])</f>
        <v>Brienne Dayne</v>
      </c>
      <c r="C194" s="30" t="s">
        <v>435</v>
      </c>
      <c r="D194" s="3">
        <v>62</v>
      </c>
      <c r="E194" s="5">
        <v>23337</v>
      </c>
      <c r="F194" s="27" t="s">
        <v>26</v>
      </c>
      <c r="G194" s="27" t="s">
        <v>27</v>
      </c>
      <c r="H194" s="6">
        <v>11900</v>
      </c>
      <c r="I194" s="6">
        <v>58500</v>
      </c>
      <c r="J194" s="23" t="s">
        <v>38</v>
      </c>
      <c r="K194" s="3">
        <v>37</v>
      </c>
      <c r="L194" s="27" t="str">
        <f>IF(OR(J194="Sim",M194="Sim",I194/H194&gt;=2,N194/H194&gt;=5),"Alto",IF(OR(I194/H194&gt;=1,N194/H194&gt;=3,K194&gt;=30),"Médio","Baixo"))</f>
        <v>Alto</v>
      </c>
      <c r="M194" s="23" t="s">
        <v>38</v>
      </c>
      <c r="N194" s="29">
        <v>48000</v>
      </c>
    </row>
    <row r="195" spans="1:14" ht="15.75">
      <c r="A195" s="27" t="s">
        <v>13</v>
      </c>
      <c r="B195" s="27" t="str">
        <f ca="1">PROPER(Tabela1[[#This Row],[nome]])</f>
        <v>Thoros Greyjoy</v>
      </c>
      <c r="C195" s="30" t="s">
        <v>558</v>
      </c>
      <c r="D195" s="3">
        <v>27</v>
      </c>
      <c r="E195" s="5">
        <v>36316</v>
      </c>
      <c r="F195" s="27" t="s">
        <v>86</v>
      </c>
      <c r="G195" s="27" t="s">
        <v>87</v>
      </c>
      <c r="H195" s="6">
        <v>10700</v>
      </c>
      <c r="I195" s="6">
        <v>60000</v>
      </c>
      <c r="J195" s="23" t="s">
        <v>38</v>
      </c>
      <c r="K195" s="3">
        <v>44</v>
      </c>
      <c r="L195" s="27" t="str">
        <f>IF(OR(J195="Sim",M195="Sim",I195/H195&gt;=2,N195/H195&gt;=5),"Alto",IF(OR(I195/H195&gt;=1,N195/H195&gt;=3,K195&gt;=30),"Médio","Baixo"))</f>
        <v>Alto</v>
      </c>
      <c r="M195" s="23" t="s">
        <v>38</v>
      </c>
      <c r="N195" s="29">
        <v>48000</v>
      </c>
    </row>
    <row r="196" spans="1:14" ht="15.75">
      <c r="A196" s="27" t="s">
        <v>13</v>
      </c>
      <c r="B196" s="27" t="str">
        <f ca="1">PROPER(Tabela1[[#This Row],[nome]])</f>
        <v>Shae  Dayne</v>
      </c>
      <c r="C196" s="30" t="s">
        <v>665</v>
      </c>
      <c r="D196" s="3">
        <v>25</v>
      </c>
      <c r="E196" s="5">
        <v>36792</v>
      </c>
      <c r="F196" s="27" t="s">
        <v>16</v>
      </c>
      <c r="G196" s="27" t="s">
        <v>17</v>
      </c>
      <c r="H196" s="6">
        <v>22100</v>
      </c>
      <c r="I196" s="6">
        <v>30500</v>
      </c>
      <c r="J196" s="23" t="s">
        <v>38</v>
      </c>
      <c r="K196" s="3">
        <v>28</v>
      </c>
      <c r="L196" s="27" t="str">
        <f>IF(OR(J196="Sim",M196="Sim",I196/H196&gt;=2,N196/H196&gt;=5),"Alto",IF(OR(I196/H196&gt;=1,N196/H196&gt;=3,K196&gt;=30),"Médio","Baixo"))</f>
        <v>Médio</v>
      </c>
      <c r="M196" s="23" t="s">
        <v>38</v>
      </c>
      <c r="N196" s="29">
        <v>48000</v>
      </c>
    </row>
    <row r="197" spans="1:14" ht="15.75">
      <c r="A197" s="27" t="s">
        <v>13</v>
      </c>
      <c r="B197" s="27" t="str">
        <f ca="1">PROPER(Tabela1[[#This Row],[nome]])</f>
        <v>Asha Tallhart</v>
      </c>
      <c r="C197" s="30" t="s">
        <v>768</v>
      </c>
      <c r="D197" s="3">
        <f ca="1">INT((TODAY()-E197)/365)</f>
        <v>38</v>
      </c>
      <c r="E197" s="5">
        <v>32260</v>
      </c>
      <c r="F197" s="27" t="s">
        <v>50</v>
      </c>
      <c r="G197" s="27" t="s">
        <v>70</v>
      </c>
      <c r="H197" s="6">
        <v>17600</v>
      </c>
      <c r="I197" s="8">
        <v>0</v>
      </c>
      <c r="J197" s="23" t="s">
        <v>18</v>
      </c>
      <c r="K197" s="3">
        <v>31</v>
      </c>
      <c r="L197" s="27" t="str">
        <f>IF(OR(J197="Sim",M197="Sim",I197/H197&gt;=2,N197/H197&gt;=5),"Alto",IF(OR(I197/H197&gt;=1,N197/H197&gt;=3,K197&gt;=30),"Médio","Baixo"))</f>
        <v>Alto</v>
      </c>
      <c r="M197" s="23" t="s">
        <v>18</v>
      </c>
      <c r="N197" s="29">
        <v>47500</v>
      </c>
    </row>
    <row r="198" spans="1:14" ht="15.75">
      <c r="A198" s="27" t="s">
        <v>13</v>
      </c>
      <c r="B198" s="27" t="str">
        <f ca="1">PROPER(Tabela1[[#This Row],[nome]])</f>
        <v>Loras Clegane</v>
      </c>
      <c r="C198" s="30" t="s">
        <v>106</v>
      </c>
      <c r="D198" s="3">
        <v>58</v>
      </c>
      <c r="E198" s="5">
        <v>24911</v>
      </c>
      <c r="F198" s="27" t="s">
        <v>107</v>
      </c>
      <c r="G198" s="27" t="s">
        <v>77</v>
      </c>
      <c r="H198" s="6">
        <v>25400</v>
      </c>
      <c r="I198" s="6">
        <v>70500</v>
      </c>
      <c r="J198" s="23" t="s">
        <v>18</v>
      </c>
      <c r="K198" s="3">
        <v>11</v>
      </c>
      <c r="L198" s="27" t="str">
        <f>IF(OR(J198="Sim",M198="Sim",I198/H198&gt;=2,N198/H198&gt;=5),"Alto",IF(OR(I198/H198&gt;=1,N198/H198&gt;=3,K198&gt;=30),"Médio","Baixo"))</f>
        <v>Alto</v>
      </c>
      <c r="M198" s="23" t="s">
        <v>18</v>
      </c>
      <c r="N198" s="29">
        <v>47000</v>
      </c>
    </row>
    <row r="199" spans="1:14" ht="15.75">
      <c r="A199" s="27" t="s">
        <v>19</v>
      </c>
      <c r="B199" s="27" t="str">
        <f ca="1">PROPER(Tabela1[[#This Row],[nome]])</f>
        <v>Grey Worm Baratheon</v>
      </c>
      <c r="C199" s="30" t="s">
        <v>374</v>
      </c>
      <c r="D199" s="3">
        <v>29</v>
      </c>
      <c r="E199" s="5">
        <v>35598</v>
      </c>
      <c r="F199" s="27" t="s">
        <v>122</v>
      </c>
      <c r="G199" s="27" t="s">
        <v>122</v>
      </c>
      <c r="H199" s="6">
        <v>15500</v>
      </c>
      <c r="I199" s="6">
        <v>75000</v>
      </c>
      <c r="J199" s="23" t="s">
        <v>38</v>
      </c>
      <c r="K199" s="3">
        <v>25</v>
      </c>
      <c r="L199" s="27" t="str">
        <f>IF(OR(J199="Sim",M199="Sim",I199/H199&gt;=2,N199/H199&gt;=5),"Alto",IF(OR(I199/H199&gt;=1,N199/H199&gt;=3,K199&gt;=30),"Médio","Baixo"))</f>
        <v>Alto</v>
      </c>
      <c r="M199" s="23" t="s">
        <v>38</v>
      </c>
      <c r="N199" s="29">
        <v>47000</v>
      </c>
    </row>
    <row r="200" spans="1:14" ht="15.75">
      <c r="A200" s="27" t="s">
        <v>19</v>
      </c>
      <c r="B200" s="27" t="str">
        <f ca="1">PROPER(Tabela1[[#This Row],[nome]])</f>
        <v>Jeor Marbrand</v>
      </c>
      <c r="C200" s="30" t="s">
        <v>391</v>
      </c>
      <c r="D200" s="3">
        <v>63</v>
      </c>
      <c r="E200" s="5">
        <v>22924</v>
      </c>
      <c r="F200" s="27" t="s">
        <v>65</v>
      </c>
      <c r="G200" s="27" t="s">
        <v>60</v>
      </c>
      <c r="H200" s="6">
        <v>29000</v>
      </c>
      <c r="I200" s="6">
        <v>36500</v>
      </c>
      <c r="J200" s="23" t="s">
        <v>38</v>
      </c>
      <c r="K200" s="3">
        <v>38</v>
      </c>
      <c r="L200" s="27" t="str">
        <f>IF(OR(J200="Sim",M200="Sim",I200/H200&gt;=2,N200/H200&gt;=5),"Alto",IF(OR(I200/H200&gt;=1,N200/H200&gt;=3,K200&gt;=30),"Médio","Baixo"))</f>
        <v>Médio</v>
      </c>
      <c r="M200" s="23" t="s">
        <v>38</v>
      </c>
      <c r="N200" s="29">
        <v>47000</v>
      </c>
    </row>
    <row r="201" spans="1:14" ht="15.75">
      <c r="A201" s="27" t="s">
        <v>13</v>
      </c>
      <c r="B201" s="27" t="str">
        <f ca="1">PROPER(Tabela1[[#This Row],[nome]])</f>
        <v>Cersei Stark</v>
      </c>
      <c r="C201" s="30" t="s">
        <v>246</v>
      </c>
      <c r="D201" s="3">
        <v>25</v>
      </c>
      <c r="E201" s="5">
        <v>37091</v>
      </c>
      <c r="F201" s="27" t="s">
        <v>16</v>
      </c>
      <c r="G201" s="27" t="s">
        <v>17</v>
      </c>
      <c r="H201" s="6">
        <v>28800</v>
      </c>
      <c r="I201" s="6" t="s">
        <v>768</v>
      </c>
      <c r="J201" s="23" t="s">
        <v>38</v>
      </c>
      <c r="K201" s="3">
        <v>12</v>
      </c>
      <c r="L201" s="27" t="s">
        <v>770</v>
      </c>
      <c r="M201" s="23" t="s">
        <v>38</v>
      </c>
      <c r="N201" s="29">
        <v>46500</v>
      </c>
    </row>
    <row r="202" spans="1:14" ht="15.75">
      <c r="A202" s="27" t="s">
        <v>19</v>
      </c>
      <c r="B202" s="27" t="str">
        <f ca="1">PROPER(Tabela1[[#This Row],[nome]])</f>
        <v>Samwell Glover</v>
      </c>
      <c r="C202" s="30" t="s">
        <v>768</v>
      </c>
      <c r="D202" s="3">
        <v>73</v>
      </c>
      <c r="E202" s="5">
        <v>19299</v>
      </c>
      <c r="F202" s="27" t="s">
        <v>21</v>
      </c>
      <c r="G202" s="27" t="s">
        <v>22</v>
      </c>
      <c r="H202" s="6">
        <v>7100</v>
      </c>
      <c r="I202" s="6">
        <v>58000</v>
      </c>
      <c r="J202" s="23" t="s">
        <v>18</v>
      </c>
      <c r="K202" s="3">
        <v>22</v>
      </c>
      <c r="L202" s="27" t="str">
        <f>IF(OR(J202="Sim",M202="Sim",I202/H202&gt;=2,N202/H202&gt;=5),"Alto",IF(OR(I202/H202&gt;=1,N202/H202&gt;=3,K202&gt;=30),"Médio","Baixo"))</f>
        <v>Alto</v>
      </c>
      <c r="M202" s="23" t="s">
        <v>18</v>
      </c>
      <c r="N202" s="29">
        <v>46500</v>
      </c>
    </row>
    <row r="203" spans="1:14" ht="15.75">
      <c r="A203" s="27" t="s">
        <v>13</v>
      </c>
      <c r="B203" s="27" t="str">
        <f ca="1">PROPER(Tabela1[[#This Row],[nome]])</f>
        <v>Rhaegar Tallhart</v>
      </c>
      <c r="C203" s="30" t="s">
        <v>768</v>
      </c>
      <c r="D203" s="3">
        <v>26</v>
      </c>
      <c r="E203" s="5">
        <v>36596</v>
      </c>
      <c r="F203" s="27" t="s">
        <v>92</v>
      </c>
      <c r="G203" s="27" t="s">
        <v>80</v>
      </c>
      <c r="H203" s="6">
        <v>3500</v>
      </c>
      <c r="I203" s="6">
        <v>50000</v>
      </c>
      <c r="J203" s="23" t="s">
        <v>38</v>
      </c>
      <c r="K203" s="3">
        <v>40</v>
      </c>
      <c r="L203" s="27" t="str">
        <f>IF(OR(J203="Sim",M203="Sim",I203/H203&gt;=2,N203/H203&gt;=5),"Alto",IF(OR(I203/H203&gt;=1,N203/H203&gt;=3,K203&gt;=30),"Médio","Baixo"))</f>
        <v>Alto</v>
      </c>
      <c r="M203" s="23" t="s">
        <v>38</v>
      </c>
      <c r="N203" s="29">
        <v>46500</v>
      </c>
    </row>
    <row r="204" spans="1:14" ht="15.75">
      <c r="A204" s="27" t="s">
        <v>13</v>
      </c>
      <c r="B204" s="27" t="str">
        <f ca="1">PROPER(Tabela1[[#This Row],[nome]])</f>
        <v>Viserys  Umber</v>
      </c>
      <c r="C204" s="30" t="s">
        <v>562</v>
      </c>
      <c r="D204" s="3">
        <f ca="1">INT((TODAY()-E204)/365)</f>
        <v>19</v>
      </c>
      <c r="E204" s="5">
        <v>39230</v>
      </c>
      <c r="F204" s="27" t="s">
        <v>111</v>
      </c>
      <c r="G204" s="27" t="s">
        <v>87</v>
      </c>
      <c r="H204" s="6">
        <v>18000</v>
      </c>
      <c r="I204" s="6">
        <v>49500</v>
      </c>
      <c r="J204" s="23" t="s">
        <v>38</v>
      </c>
      <c r="K204" s="3">
        <v>25</v>
      </c>
      <c r="L204" s="27" t="str">
        <f>IF(OR(J204="Sim",M204="Sim",I204/H204&gt;=2,N204/H204&gt;=5),"Alto",IF(OR(I204/H204&gt;=1,N204/H204&gt;=3,K204&gt;=30),"Médio","Baixo"))</f>
        <v>Alto</v>
      </c>
      <c r="M204" s="23" t="s">
        <v>38</v>
      </c>
      <c r="N204" s="29">
        <v>46500</v>
      </c>
    </row>
    <row r="205" spans="1:14" ht="15.75">
      <c r="A205" s="27" t="s">
        <v>13</v>
      </c>
      <c r="B205" s="27" t="str">
        <f ca="1">PROPER(Tabela1[[#This Row],[nome]])</f>
        <v>Roose Bracken</v>
      </c>
      <c r="C205" s="30" t="s">
        <v>768</v>
      </c>
      <c r="D205" s="3">
        <v>43</v>
      </c>
      <c r="E205" s="5">
        <v>30355</v>
      </c>
      <c r="F205" s="27" t="s">
        <v>92</v>
      </c>
      <c r="G205" s="27" t="s">
        <v>80</v>
      </c>
      <c r="H205" s="6">
        <v>21700</v>
      </c>
      <c r="I205" s="6">
        <v>31000</v>
      </c>
      <c r="J205" s="23" t="s">
        <v>38</v>
      </c>
      <c r="K205" s="3">
        <v>27</v>
      </c>
      <c r="L205" s="27" t="str">
        <f>IF(OR(J205="Sim",M205="Sim",I205/H205&gt;=2,N205/H205&gt;=5),"Alto",IF(OR(I205/H205&gt;=1,N205/H205&gt;=3,K205&gt;=30),"Médio","Baixo"))</f>
        <v>Médio</v>
      </c>
      <c r="M205" s="23" t="s">
        <v>38</v>
      </c>
      <c r="N205" s="29">
        <v>45500</v>
      </c>
    </row>
    <row r="206" spans="1:14" ht="15.75">
      <c r="A206" s="27" t="s">
        <v>13</v>
      </c>
      <c r="B206" s="27" t="str">
        <f ca="1">PROPER(Tabela1[[#This Row],[nome]])</f>
        <v>Bran Dondarrion</v>
      </c>
      <c r="C206" s="30" t="s">
        <v>768</v>
      </c>
      <c r="D206" s="3">
        <v>18</v>
      </c>
      <c r="E206" s="5">
        <v>39369</v>
      </c>
      <c r="F206" s="27" t="s">
        <v>59</v>
      </c>
      <c r="G206" s="27" t="s">
        <v>60</v>
      </c>
      <c r="H206" s="6">
        <v>18500</v>
      </c>
      <c r="I206" s="6">
        <v>74500</v>
      </c>
      <c r="J206" s="23" t="s">
        <v>18</v>
      </c>
      <c r="K206" s="3">
        <v>20</v>
      </c>
      <c r="L206" s="27" t="str">
        <f>IF(OR(J206="Sim",M206="Sim",I206/H206&gt;=2,N206/H206&gt;=5),"Alto",IF(OR(I206/H206&gt;=1,N206/H206&gt;=3,K206&gt;=30),"Médio","Baixo"))</f>
        <v>Alto</v>
      </c>
      <c r="M206" s="23" t="s">
        <v>18</v>
      </c>
      <c r="N206" s="29">
        <v>45500</v>
      </c>
    </row>
    <row r="207" spans="1:14" ht="15.75">
      <c r="A207" s="27" t="s">
        <v>19</v>
      </c>
      <c r="B207" s="27" t="str">
        <f ca="1">PROPER(Tabela1[[#This Row],[nome]])</f>
        <v>Ellaria  Reed</v>
      </c>
      <c r="C207" s="30" t="s">
        <v>229</v>
      </c>
      <c r="D207" s="3">
        <v>70</v>
      </c>
      <c r="E207" s="5">
        <v>20502</v>
      </c>
      <c r="F207" s="27" t="s">
        <v>41</v>
      </c>
      <c r="G207" s="27" t="s">
        <v>46</v>
      </c>
      <c r="H207" s="6">
        <v>2500</v>
      </c>
      <c r="I207" s="8">
        <v>0</v>
      </c>
      <c r="J207" s="23" t="s">
        <v>38</v>
      </c>
      <c r="K207" s="3">
        <v>38</v>
      </c>
      <c r="L207" s="27" t="str">
        <f>IF(OR(J207="Sim",M207="Sim",I207/H207&gt;=2,N207/H207&gt;=5),"Alto",IF(OR(I207/H207&gt;=1,N207/H207&gt;=3,K207&gt;=30),"Médio","Baixo"))</f>
        <v>Alto</v>
      </c>
      <c r="M207" s="23" t="s">
        <v>38</v>
      </c>
      <c r="N207" s="29">
        <v>44500</v>
      </c>
    </row>
    <row r="208" spans="1:14" ht="15.75">
      <c r="A208" s="27" t="s">
        <v>13</v>
      </c>
      <c r="B208" s="27" t="str">
        <f ca="1">PROPER(Tabela1[[#This Row],[nome]])</f>
        <v>Jojen Reed</v>
      </c>
      <c r="C208" s="30" t="s">
        <v>216</v>
      </c>
      <c r="D208" s="3">
        <v>41</v>
      </c>
      <c r="E208" s="5">
        <v>30944</v>
      </c>
      <c r="F208" s="27" t="s">
        <v>21</v>
      </c>
      <c r="G208" s="27" t="s">
        <v>22</v>
      </c>
      <c r="H208" s="6">
        <v>20000</v>
      </c>
      <c r="I208" s="6">
        <v>20500</v>
      </c>
      <c r="J208" s="23" t="s">
        <v>18</v>
      </c>
      <c r="K208" s="3">
        <v>8</v>
      </c>
      <c r="L208" s="27" t="str">
        <f>IF(OR(J208="Sim",M208="Sim",I208/H208&gt;=2,N208/H208&gt;=5),"Alto",IF(OR(I208/H208&gt;=1,N208/H208&gt;=3,K208&gt;=30),"Médio","Baixo"))</f>
        <v>Alto</v>
      </c>
      <c r="M208" s="23" t="s">
        <v>18</v>
      </c>
      <c r="N208" s="29">
        <v>44000</v>
      </c>
    </row>
    <row r="209" spans="1:14" ht="15.75">
      <c r="A209" s="27" t="s">
        <v>13</v>
      </c>
      <c r="B209" s="27" t="str">
        <f ca="1">PROPER(Tabela1[[#This Row],[nome]])</f>
        <v>Podrick Florent</v>
      </c>
      <c r="C209" s="30" t="s">
        <v>458</v>
      </c>
      <c r="D209" s="3">
        <v>60</v>
      </c>
      <c r="E209" s="5">
        <v>24021</v>
      </c>
      <c r="F209" s="27" t="s">
        <v>108</v>
      </c>
      <c r="G209" s="27" t="s">
        <v>80</v>
      </c>
      <c r="H209" s="6">
        <v>22900</v>
      </c>
      <c r="I209" s="6">
        <v>4500</v>
      </c>
      <c r="J209" s="23" t="s">
        <v>18</v>
      </c>
      <c r="K209" s="3">
        <v>29</v>
      </c>
      <c r="L209" s="27" t="str">
        <f>IF(OR(J209="Sim",M209="Sim",I209/H209&gt;=2,N209/H209&gt;=5),"Alto",IF(OR(I209/H209&gt;=1,N209/H209&gt;=3,K209&gt;=30),"Médio","Baixo"))</f>
        <v>Alto</v>
      </c>
      <c r="M209" s="23" t="s">
        <v>18</v>
      </c>
      <c r="N209" s="29">
        <v>43500</v>
      </c>
    </row>
    <row r="210" spans="1:14" ht="15.75">
      <c r="A210" s="27" t="s">
        <v>13</v>
      </c>
      <c r="B210" s="27" t="str">
        <f ca="1">PROPER(Tabela1[[#This Row],[nome]])</f>
        <v>Brienne Mallister</v>
      </c>
      <c r="C210" s="30" t="s">
        <v>644</v>
      </c>
      <c r="D210" s="3">
        <v>53</v>
      </c>
      <c r="E210" s="5">
        <v>26840</v>
      </c>
      <c r="F210" s="27" t="s">
        <v>92</v>
      </c>
      <c r="G210" s="27" t="s">
        <v>80</v>
      </c>
      <c r="H210" s="6">
        <v>9500</v>
      </c>
      <c r="I210" s="6">
        <v>66500</v>
      </c>
      <c r="J210" s="23" t="s">
        <v>18</v>
      </c>
      <c r="K210" s="3">
        <v>38</v>
      </c>
      <c r="L210" s="27" t="str">
        <f>IF(OR(J210="Sim",M210="Sim",I210/H210&gt;=2,N210/H210&gt;=5),"Alto",IF(OR(I210/H210&gt;=1,N210/H210&gt;=3,K210&gt;=30),"Médio","Baixo"))</f>
        <v>Alto</v>
      </c>
      <c r="M210" s="23" t="s">
        <v>18</v>
      </c>
      <c r="N210" s="29">
        <v>42500</v>
      </c>
    </row>
    <row r="211" spans="1:14" ht="15.75">
      <c r="A211" s="27" t="s">
        <v>13</v>
      </c>
      <c r="B211" s="27" t="str">
        <f ca="1">PROPER(Tabela1[[#This Row],[nome]])</f>
        <v>Podrick Blackwood</v>
      </c>
      <c r="C211" s="30" t="s">
        <v>219</v>
      </c>
      <c r="D211" s="3">
        <f ca="1">INT((TODAY()-E211)/365)</f>
        <v>32</v>
      </c>
      <c r="E211" s="5">
        <v>34411</v>
      </c>
      <c r="F211" s="27" t="s">
        <v>122</v>
      </c>
      <c r="G211" s="27" t="s">
        <v>122</v>
      </c>
      <c r="H211" s="8" t="s">
        <v>768</v>
      </c>
      <c r="I211" s="8">
        <v>0</v>
      </c>
      <c r="J211" s="23" t="s">
        <v>38</v>
      </c>
      <c r="K211" s="3">
        <v>20</v>
      </c>
      <c r="L211" s="27" t="s">
        <v>769</v>
      </c>
      <c r="M211" s="23" t="s">
        <v>38</v>
      </c>
      <c r="N211" s="29">
        <v>42000</v>
      </c>
    </row>
    <row r="212" spans="1:14" ht="15.75">
      <c r="A212" s="27" t="s">
        <v>13</v>
      </c>
      <c r="B212" s="27" t="str">
        <f ca="1">PROPER(Tabela1[[#This Row],[nome]])</f>
        <v>Robert Yronwood</v>
      </c>
      <c r="C212" s="30" t="s">
        <v>337</v>
      </c>
      <c r="D212" s="3">
        <v>67</v>
      </c>
      <c r="E212" s="5">
        <v>21624</v>
      </c>
      <c r="F212" s="27" t="s">
        <v>108</v>
      </c>
      <c r="G212" s="27" t="s">
        <v>80</v>
      </c>
      <c r="H212" s="6">
        <v>8500</v>
      </c>
      <c r="I212" s="6">
        <v>39500</v>
      </c>
      <c r="J212" s="23" t="s">
        <v>18</v>
      </c>
      <c r="K212" s="3" t="s">
        <v>768</v>
      </c>
      <c r="L212" s="27" t="str">
        <f>IF(OR(J212="Sim",M212="Sim",I212/H212&gt;=2,N212/H212&gt;=5),"Alto",IF(OR(I212/H212&gt;=1,N212/H212&gt;=3,K212&gt;=30),"Médio","Baixo"))</f>
        <v>Alto</v>
      </c>
      <c r="M212" s="23" t="s">
        <v>18</v>
      </c>
      <c r="N212" s="29">
        <v>42000</v>
      </c>
    </row>
    <row r="213" spans="1:14" ht="15.75">
      <c r="A213" s="27" t="s">
        <v>13</v>
      </c>
      <c r="B213" s="27" t="str">
        <f ca="1">PROPER(Tabela1[[#This Row],[nome]])</f>
        <v>Petyr Swyft</v>
      </c>
      <c r="C213" s="30" t="s">
        <v>667</v>
      </c>
      <c r="D213" s="3">
        <v>36</v>
      </c>
      <c r="E213" s="5">
        <v>33117</v>
      </c>
      <c r="F213" s="27" t="s">
        <v>183</v>
      </c>
      <c r="G213" s="27" t="s">
        <v>397</v>
      </c>
      <c r="H213" s="6">
        <v>11600</v>
      </c>
      <c r="I213" s="6">
        <v>78500</v>
      </c>
      <c r="J213" s="23" t="s">
        <v>38</v>
      </c>
      <c r="K213" s="3">
        <v>1</v>
      </c>
      <c r="L213" s="27" t="str">
        <f>IF(OR(J213="Sim",M213="Sim",I213/H213&gt;=2,N213/H213&gt;=5),"Alto",IF(OR(I213/H213&gt;=1,N213/H213&gt;=3,K213&gt;=30),"Médio","Baixo"))</f>
        <v>Alto</v>
      </c>
      <c r="M213" s="23" t="s">
        <v>38</v>
      </c>
      <c r="N213" s="29">
        <v>42000</v>
      </c>
    </row>
    <row r="214" spans="1:14" ht="15.75">
      <c r="A214" s="27" t="s">
        <v>19</v>
      </c>
      <c r="B214" s="27" t="str">
        <f ca="1">PROPER(Tabela1[[#This Row],[nome]])</f>
        <v>Loras Frey</v>
      </c>
      <c r="C214" s="30" t="s">
        <v>425</v>
      </c>
      <c r="D214" s="3">
        <v>30</v>
      </c>
      <c r="E214" s="5">
        <v>35213</v>
      </c>
      <c r="F214" s="27" t="s">
        <v>111</v>
      </c>
      <c r="G214" s="27" t="s">
        <v>87</v>
      </c>
      <c r="H214" s="6">
        <v>3900</v>
      </c>
      <c r="I214" s="6">
        <v>45000</v>
      </c>
      <c r="J214" s="23" t="s">
        <v>38</v>
      </c>
      <c r="K214" s="3">
        <v>34</v>
      </c>
      <c r="L214" s="27" t="str">
        <f>IF(OR(J214="Sim",M214="Sim",I214/H214&gt;=2,N214/H214&gt;=5),"Alto",IF(OR(I214/H214&gt;=1,N214/H214&gt;=3,K214&gt;=30),"Médio","Baixo"))</f>
        <v>Alto</v>
      </c>
      <c r="M214" s="23" t="s">
        <v>38</v>
      </c>
      <c r="N214" s="29">
        <v>41500</v>
      </c>
    </row>
    <row r="215" spans="1:14" ht="15.75">
      <c r="A215" s="27" t="s">
        <v>19</v>
      </c>
      <c r="B215" s="27" t="str">
        <f ca="1">PROPER(Tabela1[[#This Row],[nome]])</f>
        <v>Theon Baelish</v>
      </c>
      <c r="C215" s="30" t="s">
        <v>579</v>
      </c>
      <c r="D215" s="3">
        <v>36</v>
      </c>
      <c r="E215" s="5">
        <v>32914</v>
      </c>
      <c r="F215" s="27" t="s">
        <v>183</v>
      </c>
      <c r="G215" s="27" t="s">
        <v>397</v>
      </c>
      <c r="H215" s="6">
        <v>27600</v>
      </c>
      <c r="I215" s="6">
        <v>37000</v>
      </c>
      <c r="J215" s="23" t="s">
        <v>38</v>
      </c>
      <c r="K215" s="3">
        <v>15</v>
      </c>
      <c r="L215" s="27" t="str">
        <f>IF(OR(J215="Sim",M215="Sim",I215/H215&gt;=2,N215/H215&gt;=5),"Alto",IF(OR(I215/H215&gt;=1,N215/H215&gt;=3,K215&gt;=30),"Médio","Baixo"))</f>
        <v>Médio</v>
      </c>
      <c r="M215" s="23" t="s">
        <v>38</v>
      </c>
      <c r="N215" s="29">
        <v>41500</v>
      </c>
    </row>
    <row r="216" spans="1:14" ht="15.75">
      <c r="A216" s="27" t="s">
        <v>13</v>
      </c>
      <c r="B216" s="27" t="str">
        <f ca="1">PROPER(Tabela1[[#This Row],[nome]])</f>
        <v>Melisandre Glover</v>
      </c>
      <c r="C216" s="30" t="s">
        <v>754</v>
      </c>
      <c r="D216" s="3">
        <v>22</v>
      </c>
      <c r="E216" s="5">
        <v>38204</v>
      </c>
      <c r="F216" s="27" t="s">
        <v>16</v>
      </c>
      <c r="G216" s="27" t="s">
        <v>17</v>
      </c>
      <c r="H216" s="6">
        <v>10500</v>
      </c>
      <c r="I216" s="6">
        <v>50500</v>
      </c>
      <c r="J216" s="23" t="s">
        <v>38</v>
      </c>
      <c r="K216" s="3">
        <v>16</v>
      </c>
      <c r="L216" s="27" t="str">
        <f>IF(OR(J216="Sim",M216="Sim",I216/H216&gt;=2,N216/H216&gt;=5),"Alto",IF(OR(I216/H216&gt;=1,N216/H216&gt;=3,K216&gt;=30),"Médio","Baixo"))</f>
        <v>Alto</v>
      </c>
      <c r="M216" s="23" t="s">
        <v>38</v>
      </c>
      <c r="N216" s="29">
        <v>41500</v>
      </c>
    </row>
    <row r="217" spans="1:14" ht="15.75">
      <c r="A217" s="27" t="s">
        <v>13</v>
      </c>
      <c r="B217" s="27" t="str">
        <f ca="1">PROPER(Tabela1[[#This Row],[nome]])</f>
        <v>Jorah Marbrand</v>
      </c>
      <c r="C217" s="30" t="s">
        <v>618</v>
      </c>
      <c r="D217" s="3">
        <v>53</v>
      </c>
      <c r="E217" s="5">
        <v>26558</v>
      </c>
      <c r="F217" s="27" t="s">
        <v>26</v>
      </c>
      <c r="G217" s="27" t="s">
        <v>27</v>
      </c>
      <c r="H217" s="6">
        <v>15500</v>
      </c>
      <c r="I217" s="6" t="s">
        <v>768</v>
      </c>
      <c r="J217" s="23" t="s">
        <v>38</v>
      </c>
      <c r="K217" s="3">
        <v>16</v>
      </c>
      <c r="L217" s="27" t="s">
        <v>770</v>
      </c>
      <c r="M217" s="23" t="s">
        <v>38</v>
      </c>
      <c r="N217" s="29">
        <v>41000</v>
      </c>
    </row>
    <row r="218" spans="1:14" ht="15.75">
      <c r="A218" s="27" t="s">
        <v>13</v>
      </c>
      <c r="B218" s="27" t="str">
        <f ca="1">PROPER(Tabela1[[#This Row],[nome]])</f>
        <v>Jojen Florent</v>
      </c>
      <c r="C218" s="30" t="s">
        <v>768</v>
      </c>
      <c r="D218" s="3">
        <v>48</v>
      </c>
      <c r="E218" s="5">
        <v>28408</v>
      </c>
      <c r="F218" s="27" t="s">
        <v>108</v>
      </c>
      <c r="G218" s="27" t="s">
        <v>80</v>
      </c>
      <c r="H218" s="6">
        <v>13300</v>
      </c>
      <c r="I218" s="6">
        <v>42000</v>
      </c>
      <c r="J218" s="23" t="s">
        <v>18</v>
      </c>
      <c r="K218" s="3">
        <v>27</v>
      </c>
      <c r="L218" s="27" t="str">
        <f>IF(OR(J218="Sim",M218="Sim",I218/H218&gt;=2,N218/H218&gt;=5),"Alto",IF(OR(I218/H218&gt;=1,N218/H218&gt;=3,K218&gt;=30),"Médio","Baixo"))</f>
        <v>Alto</v>
      </c>
      <c r="M218" s="23" t="s">
        <v>18</v>
      </c>
      <c r="N218" s="29">
        <v>40000</v>
      </c>
    </row>
    <row r="219" spans="1:14" ht="15.75">
      <c r="A219" s="27" t="s">
        <v>13</v>
      </c>
      <c r="B219" s="27" t="str">
        <f ca="1">PROPER(Tabela1[[#This Row],[nome]])</f>
        <v>Bran Frey</v>
      </c>
      <c r="C219" s="30" t="s">
        <v>678</v>
      </c>
      <c r="D219" s="3">
        <v>39</v>
      </c>
      <c r="E219" s="5">
        <v>31968</v>
      </c>
      <c r="F219" s="27" t="s">
        <v>92</v>
      </c>
      <c r="G219" s="27" t="s">
        <v>80</v>
      </c>
      <c r="H219" s="6">
        <v>8000</v>
      </c>
      <c r="I219" s="6">
        <v>69000</v>
      </c>
      <c r="J219" s="23" t="s">
        <v>38</v>
      </c>
      <c r="K219" s="3">
        <v>15</v>
      </c>
      <c r="L219" s="27" t="str">
        <f>IF(OR(J219="Sim",M219="Sim",I219/H219&gt;=2,N219/H219&gt;=5),"Alto",IF(OR(I219/H219&gt;=1,N219/H219&gt;=3,K219&gt;=30),"Médio","Baixo"))</f>
        <v>Alto</v>
      </c>
      <c r="M219" s="23" t="s">
        <v>38</v>
      </c>
      <c r="N219" s="29">
        <v>39500</v>
      </c>
    </row>
    <row r="220" spans="1:14" ht="15.75">
      <c r="A220" s="27" t="s">
        <v>13</v>
      </c>
      <c r="B220" s="27" t="str">
        <f ca="1">PROPER(Tabela1[[#This Row],[nome]])</f>
        <v>Jon Hornwood</v>
      </c>
      <c r="C220" s="30" t="s">
        <v>768</v>
      </c>
      <c r="D220" s="3">
        <f ca="1">INT((TODAY()-E220)/365)</f>
        <v>26</v>
      </c>
      <c r="E220" s="5">
        <v>36759</v>
      </c>
      <c r="F220" s="27" t="s">
        <v>122</v>
      </c>
      <c r="G220" s="27" t="s">
        <v>122</v>
      </c>
      <c r="H220" s="6">
        <v>23200</v>
      </c>
      <c r="I220" s="6">
        <v>54500</v>
      </c>
      <c r="J220" s="23" t="s">
        <v>18</v>
      </c>
      <c r="K220" s="3">
        <v>26</v>
      </c>
      <c r="L220" s="27" t="str">
        <f>IF(OR(J220="Sim",M220="Sim",I220/H220&gt;=2,N220/H220&gt;=5),"Alto",IF(OR(I220/H220&gt;=1,N220/H220&gt;=3,K220&gt;=30),"Médio","Baixo"))</f>
        <v>Alto</v>
      </c>
      <c r="M220" s="23" t="s">
        <v>18</v>
      </c>
      <c r="N220" s="29">
        <v>39500</v>
      </c>
    </row>
    <row r="221" spans="1:14" ht="15.75">
      <c r="A221" s="27" t="s">
        <v>13</v>
      </c>
      <c r="B221" s="27" t="str">
        <f ca="1">PROPER(Tabela1[[#This Row],[nome]])</f>
        <v>Beric  Umber</v>
      </c>
      <c r="C221" s="30" t="s">
        <v>768</v>
      </c>
      <c r="D221" s="3">
        <v>73</v>
      </c>
      <c r="E221" s="5">
        <v>19538</v>
      </c>
      <c r="F221" s="27" t="s">
        <v>26</v>
      </c>
      <c r="G221" s="27" t="s">
        <v>27</v>
      </c>
      <c r="H221" s="6">
        <v>12700</v>
      </c>
      <c r="I221" s="6">
        <v>79500</v>
      </c>
      <c r="J221" s="23" t="s">
        <v>38</v>
      </c>
      <c r="K221" s="3">
        <v>35</v>
      </c>
      <c r="L221" s="27" t="str">
        <f>IF(OR(J221="Sim",M221="Sim",I221/H221&gt;=2,N221/H221&gt;=5),"Alto",IF(OR(I221/H221&gt;=1,N221/H221&gt;=3,K221&gt;=30),"Médio","Baixo"))</f>
        <v>Alto</v>
      </c>
      <c r="M221" s="23" t="s">
        <v>38</v>
      </c>
      <c r="N221" s="29">
        <v>39000</v>
      </c>
    </row>
    <row r="222" spans="1:14" ht="15.75">
      <c r="A222" s="27" t="s">
        <v>19</v>
      </c>
      <c r="B222" s="27" t="str">
        <f ca="1">PROPER(Tabela1[[#This Row],[nome]])</f>
        <v>Jaime Seaworth</v>
      </c>
      <c r="C222" s="30" t="s">
        <v>629</v>
      </c>
      <c r="D222" s="3">
        <v>33</v>
      </c>
      <c r="E222" s="5">
        <v>33989</v>
      </c>
      <c r="F222" s="27" t="s">
        <v>163</v>
      </c>
      <c r="G222" s="27" t="s">
        <v>27</v>
      </c>
      <c r="H222" s="6">
        <v>23400</v>
      </c>
      <c r="I222" s="6">
        <v>59000</v>
      </c>
      <c r="J222" s="23" t="s">
        <v>18</v>
      </c>
      <c r="K222" s="3">
        <v>35</v>
      </c>
      <c r="L222" s="27" t="str">
        <f>IF(OR(J222="Sim",M222="Sim",I222/H222&gt;=2,N222/H222&gt;=5),"Alto",IF(OR(I222/H222&gt;=1,N222/H222&gt;=3,K222&gt;=30),"Médio","Baixo"))</f>
        <v>Alto</v>
      </c>
      <c r="M222" s="23" t="s">
        <v>18</v>
      </c>
      <c r="N222" s="29">
        <v>39000</v>
      </c>
    </row>
    <row r="223" spans="1:14" ht="15.75">
      <c r="A223" s="27" t="s">
        <v>19</v>
      </c>
      <c r="B223" s="27" t="str">
        <f ca="1">PROPER(Tabela1[[#This Row],[nome]])</f>
        <v>Loras Payne</v>
      </c>
      <c r="C223" s="30" t="s">
        <v>296</v>
      </c>
      <c r="D223" s="3">
        <v>30</v>
      </c>
      <c r="E223" s="5">
        <v>35200</v>
      </c>
      <c r="F223" s="27" t="s">
        <v>65</v>
      </c>
      <c r="G223" s="27" t="s">
        <v>60</v>
      </c>
      <c r="H223" s="6">
        <v>26500</v>
      </c>
      <c r="I223" s="6">
        <v>14500</v>
      </c>
      <c r="J223" s="23" t="s">
        <v>38</v>
      </c>
      <c r="K223" s="3">
        <v>15</v>
      </c>
      <c r="L223" s="27" t="str">
        <f>IF(OR(J223="Sim",M223="Sim",I223/H223&gt;=2,N223/H223&gt;=5),"Alto",IF(OR(I223/H223&gt;=1,N223/H223&gt;=3,K223&gt;=30),"Médio","Baixo"))</f>
        <v>Baixo</v>
      </c>
      <c r="M223" s="23" t="s">
        <v>38</v>
      </c>
      <c r="N223" s="29">
        <v>39000</v>
      </c>
    </row>
    <row r="224" spans="1:14" ht="15.75">
      <c r="A224" s="27" t="s">
        <v>19</v>
      </c>
      <c r="B224" s="27" t="str">
        <f ca="1">PROPER(Tabela1[[#This Row],[nome]])</f>
        <v>Asha Bolton</v>
      </c>
      <c r="C224" s="30" t="s">
        <v>768</v>
      </c>
      <c r="D224" s="3">
        <v>51</v>
      </c>
      <c r="E224" s="5">
        <v>27590</v>
      </c>
      <c r="F224" s="27" t="s">
        <v>79</v>
      </c>
      <c r="G224" s="27" t="s">
        <v>80</v>
      </c>
      <c r="H224" s="6">
        <v>19400</v>
      </c>
      <c r="I224" s="6">
        <v>4000</v>
      </c>
      <c r="J224" s="23" t="s">
        <v>38</v>
      </c>
      <c r="K224" s="3">
        <v>30</v>
      </c>
      <c r="L224" s="27" t="str">
        <f>IF(OR(J224="Sim",M224="Sim",I224/H224&gt;=2,N224/H224&gt;=5),"Alto",IF(OR(I224/H224&gt;=1,N224/H224&gt;=3,K224&gt;=30),"Médio","Baixo"))</f>
        <v>Médio</v>
      </c>
      <c r="M224" s="23" t="s">
        <v>38</v>
      </c>
      <c r="N224" s="29">
        <v>38500</v>
      </c>
    </row>
    <row r="225" spans="1:14" ht="15.75">
      <c r="A225" s="27" t="s">
        <v>13</v>
      </c>
      <c r="B225" s="27" t="str">
        <f ca="1">PROPER(Tabela1[[#This Row],[nome]])</f>
        <v>Gilly Mormont</v>
      </c>
      <c r="C225" s="30" t="s">
        <v>543</v>
      </c>
      <c r="D225" s="3">
        <v>65</v>
      </c>
      <c r="E225" s="5">
        <v>22366</v>
      </c>
      <c r="F225" s="27" t="s">
        <v>111</v>
      </c>
      <c r="G225" s="27" t="s">
        <v>87</v>
      </c>
      <c r="H225" s="6">
        <v>18000</v>
      </c>
      <c r="I225" s="8">
        <v>0</v>
      </c>
      <c r="J225" s="23" t="s">
        <v>38</v>
      </c>
      <c r="K225" s="3">
        <v>27</v>
      </c>
      <c r="L225" s="27" t="str">
        <f>IF(OR(J225="Sim",M225="Sim",I225/H225&gt;=2,N225/H225&gt;=5),"Alto",IF(OR(I225/H225&gt;=1,N225/H225&gt;=3,K225&gt;=30),"Médio","Baixo"))</f>
        <v>Baixo</v>
      </c>
      <c r="M225" s="23" t="s">
        <v>38</v>
      </c>
      <c r="N225" s="29">
        <v>38500</v>
      </c>
    </row>
    <row r="226" spans="1:14" ht="15.75">
      <c r="A226" s="27" t="s">
        <v>13</v>
      </c>
      <c r="B226" s="27" t="str">
        <f ca="1">PROPER(Tabela1[[#This Row],[nome]])</f>
        <v>Margaery Dayne</v>
      </c>
      <c r="C226" s="30" t="s">
        <v>276</v>
      </c>
      <c r="D226" s="3">
        <v>36</v>
      </c>
      <c r="E226" s="5">
        <v>32791</v>
      </c>
      <c r="F226" s="27" t="s">
        <v>111</v>
      </c>
      <c r="G226" s="27" t="s">
        <v>87</v>
      </c>
      <c r="H226" s="6">
        <v>23900</v>
      </c>
      <c r="I226" s="6">
        <v>58000</v>
      </c>
      <c r="J226" s="23" t="s">
        <v>38</v>
      </c>
      <c r="K226" s="3">
        <v>27</v>
      </c>
      <c r="L226" s="27" t="str">
        <f>IF(OR(J226="Sim",M226="Sim",I226/H226&gt;=2,N226/H226&gt;=5),"Alto",IF(OR(I226/H226&gt;=1,N226/H226&gt;=3,K226&gt;=30),"Médio","Baixo"))</f>
        <v>Alto</v>
      </c>
      <c r="M226" s="23" t="s">
        <v>38</v>
      </c>
      <c r="N226" s="29">
        <v>38000</v>
      </c>
    </row>
    <row r="227" spans="1:14" ht="15.75">
      <c r="A227" s="27" t="s">
        <v>13</v>
      </c>
      <c r="B227" s="27" t="str">
        <f ca="1">PROPER(Tabela1[[#This Row],[nome]])</f>
        <v>Jeor Lannister</v>
      </c>
      <c r="C227" s="30" t="s">
        <v>253</v>
      </c>
      <c r="D227" s="3">
        <v>37</v>
      </c>
      <c r="E227" s="5">
        <v>32412</v>
      </c>
      <c r="F227" s="27" t="s">
        <v>100</v>
      </c>
      <c r="G227" s="27" t="s">
        <v>80</v>
      </c>
      <c r="H227" s="6">
        <v>24700</v>
      </c>
      <c r="I227" s="6">
        <v>23000</v>
      </c>
      <c r="J227" s="23" t="s">
        <v>18</v>
      </c>
      <c r="K227" s="3">
        <v>10</v>
      </c>
      <c r="L227" s="27" t="str">
        <f>IF(OR(J227="Sim",M227="Sim",I227/H227&gt;=2,N227/H227&gt;=5),"Alto",IF(OR(I227/H227&gt;=1,N227/H227&gt;=3,K227&gt;=30),"Médio","Baixo"))</f>
        <v>Alto</v>
      </c>
      <c r="M227" s="23" t="s">
        <v>18</v>
      </c>
      <c r="N227" s="29">
        <v>37500</v>
      </c>
    </row>
    <row r="228" spans="1:14" ht="15.75">
      <c r="A228" s="27" t="s">
        <v>13</v>
      </c>
      <c r="B228" s="27" t="str">
        <f ca="1">PROPER(Tabela1[[#This Row],[nome]])</f>
        <v>Robert Hornwood</v>
      </c>
      <c r="C228" s="30" t="s">
        <v>768</v>
      </c>
      <c r="D228" s="3">
        <v>41</v>
      </c>
      <c r="E228" s="5">
        <v>31115</v>
      </c>
      <c r="F228" s="27" t="s">
        <v>79</v>
      </c>
      <c r="G228" s="27" t="s">
        <v>80</v>
      </c>
      <c r="H228" s="6">
        <v>23100</v>
      </c>
      <c r="I228" s="6">
        <v>36000</v>
      </c>
      <c r="J228" s="23" t="s">
        <v>38</v>
      </c>
      <c r="K228" s="3">
        <v>19</v>
      </c>
      <c r="L228" s="27" t="str">
        <f>IF(OR(J228="Sim",M228="Sim",I228/H228&gt;=2,N228/H228&gt;=5),"Alto",IF(OR(I228/H228&gt;=1,N228/H228&gt;=3,K228&gt;=30),"Médio","Baixo"))</f>
        <v>Médio</v>
      </c>
      <c r="M228" s="23" t="s">
        <v>38</v>
      </c>
      <c r="N228" s="29">
        <v>37500</v>
      </c>
    </row>
    <row r="229" spans="1:14" ht="15.75">
      <c r="A229" s="27" t="s">
        <v>19</v>
      </c>
      <c r="B229" s="27" t="str">
        <f ca="1">PROPER(Tabela1[[#This Row],[nome]])</f>
        <v>Jeor Clegane</v>
      </c>
      <c r="C229" s="30" t="s">
        <v>768</v>
      </c>
      <c r="D229" s="3">
        <v>66</v>
      </c>
      <c r="E229" s="5">
        <v>21873</v>
      </c>
      <c r="F229" s="27" t="s">
        <v>100</v>
      </c>
      <c r="G229" s="27" t="s">
        <v>80</v>
      </c>
      <c r="H229" s="6">
        <v>9900</v>
      </c>
      <c r="I229" s="6">
        <v>42000</v>
      </c>
      <c r="J229" s="23" t="s">
        <v>38</v>
      </c>
      <c r="K229" s="3">
        <v>13</v>
      </c>
      <c r="L229" s="27" t="str">
        <f>IF(OR(J229="Sim",M229="Sim",I229/H229&gt;=2,N229/H229&gt;=5),"Alto",IF(OR(I229/H229&gt;=1,N229/H229&gt;=3,K229&gt;=30),"Médio","Baixo"))</f>
        <v>Alto</v>
      </c>
      <c r="M229" s="23" t="s">
        <v>38</v>
      </c>
      <c r="N229" s="29">
        <v>37000</v>
      </c>
    </row>
    <row r="230" spans="1:14" ht="15.75">
      <c r="A230" s="27" t="s">
        <v>13</v>
      </c>
      <c r="B230" s="27" t="str">
        <f ca="1">PROPER(Tabela1[[#This Row],[nome]])</f>
        <v>Jorah Dondarrion</v>
      </c>
      <c r="C230" s="30" t="s">
        <v>32</v>
      </c>
      <c r="D230" s="3">
        <v>63</v>
      </c>
      <c r="E230" s="5">
        <v>23156</v>
      </c>
      <c r="F230" s="27" t="s">
        <v>50</v>
      </c>
      <c r="G230" s="27" t="s">
        <v>70</v>
      </c>
      <c r="H230" s="6">
        <v>10400</v>
      </c>
      <c r="I230" s="6">
        <v>8500</v>
      </c>
      <c r="J230" s="23" t="s">
        <v>38</v>
      </c>
      <c r="K230" s="3">
        <v>39</v>
      </c>
      <c r="L230" s="27" t="str">
        <f>IF(OR(J230="Sim",M230="Sim",I230/H230&gt;=2,N230/H230&gt;=5),"Alto",IF(OR(I230/H230&gt;=1,N230/H230&gt;=3,K230&gt;=30),"Médio","Baixo"))</f>
        <v>Médio</v>
      </c>
      <c r="M230" s="23" t="s">
        <v>38</v>
      </c>
      <c r="N230" s="29">
        <v>36500</v>
      </c>
    </row>
    <row r="231" spans="1:14" ht="15.75">
      <c r="A231" s="27" t="s">
        <v>13</v>
      </c>
      <c r="B231" s="27" t="str">
        <f ca="1">PROPER(Tabela1[[#This Row],[nome]])</f>
        <v>Beric  Karstark</v>
      </c>
      <c r="C231" s="30" t="s">
        <v>651</v>
      </c>
      <c r="D231" s="3">
        <v>37</v>
      </c>
      <c r="E231" s="5">
        <v>32680</v>
      </c>
      <c r="F231" s="27" t="s">
        <v>65</v>
      </c>
      <c r="G231" s="27" t="s">
        <v>60</v>
      </c>
      <c r="H231" s="6">
        <v>28900</v>
      </c>
      <c r="I231" s="6">
        <v>71000</v>
      </c>
      <c r="J231" s="23" t="s">
        <v>38</v>
      </c>
      <c r="K231" s="3">
        <v>28</v>
      </c>
      <c r="L231" s="27" t="str">
        <f>IF(OR(J231="Sim",M231="Sim",I231/H231&gt;=2,N231/H231&gt;=5),"Alto",IF(OR(I231/H231&gt;=1,N231/H231&gt;=3,K231&gt;=30),"Médio","Baixo"))</f>
        <v>Alto</v>
      </c>
      <c r="M231" s="23" t="s">
        <v>38</v>
      </c>
      <c r="N231" s="29">
        <v>36500</v>
      </c>
    </row>
    <row r="232" spans="1:14" ht="15.75">
      <c r="A232" s="27" t="s">
        <v>19</v>
      </c>
      <c r="B232" s="27" t="str">
        <f ca="1">PROPER(Tabela1[[#This Row],[nome]])</f>
        <v>Melisandre Clegane</v>
      </c>
      <c r="C232" s="30" t="s">
        <v>91</v>
      </c>
      <c r="D232" s="3">
        <v>53</v>
      </c>
      <c r="E232" s="5">
        <v>26629</v>
      </c>
      <c r="F232" s="27" t="s">
        <v>92</v>
      </c>
      <c r="G232" s="27" t="s">
        <v>80</v>
      </c>
      <c r="H232" s="6">
        <v>16500</v>
      </c>
      <c r="I232" s="6">
        <v>4000</v>
      </c>
      <c r="J232" s="23" t="s">
        <v>38</v>
      </c>
      <c r="K232" s="3">
        <v>14</v>
      </c>
      <c r="L232" s="27" t="str">
        <f>IF(OR(J232="Sim",M232="Sim",I232/H232&gt;=2,N232/H232&gt;=5),"Alto",IF(OR(I232/H232&gt;=1,N232/H232&gt;=3,K232&gt;=30),"Médio","Baixo"))</f>
        <v>Baixo</v>
      </c>
      <c r="M232" s="23" t="s">
        <v>38</v>
      </c>
      <c r="N232" s="29">
        <v>36000</v>
      </c>
    </row>
    <row r="233" spans="1:14" ht="15.75">
      <c r="A233" s="27" t="s">
        <v>13</v>
      </c>
      <c r="B233" s="27" t="str">
        <f ca="1">PROPER(Tabela1[[#This Row],[nome]])</f>
        <v>Thoros Tarth</v>
      </c>
      <c r="C233" s="30" t="s">
        <v>768</v>
      </c>
      <c r="D233" s="3">
        <v>39</v>
      </c>
      <c r="E233" s="5">
        <v>31740</v>
      </c>
      <c r="F233" s="27" t="s">
        <v>50</v>
      </c>
      <c r="G233" s="27" t="s">
        <v>70</v>
      </c>
      <c r="H233" s="6">
        <v>13200</v>
      </c>
      <c r="I233" s="6" t="s">
        <v>768</v>
      </c>
      <c r="J233" s="23" t="s">
        <v>38</v>
      </c>
      <c r="K233" s="3">
        <v>38</v>
      </c>
      <c r="L233" s="27" t="s">
        <v>769</v>
      </c>
      <c r="M233" s="23" t="s">
        <v>38</v>
      </c>
      <c r="N233" s="29">
        <v>36000</v>
      </c>
    </row>
    <row r="234" spans="1:14" ht="15.75">
      <c r="A234" s="27" t="s">
        <v>13</v>
      </c>
      <c r="B234" s="27" t="str">
        <f ca="1">PROPER(Tabela1[[#This Row],[nome]])</f>
        <v>Varys Bolton</v>
      </c>
      <c r="C234" s="30" t="s">
        <v>768</v>
      </c>
      <c r="D234" s="3">
        <v>56</v>
      </c>
      <c r="E234" s="5">
        <v>25710</v>
      </c>
      <c r="F234" s="27" t="s">
        <v>100</v>
      </c>
      <c r="G234" s="27" t="s">
        <v>80</v>
      </c>
      <c r="H234" s="6">
        <v>14100</v>
      </c>
      <c r="I234" s="6">
        <v>1500</v>
      </c>
      <c r="J234" s="23" t="s">
        <v>38</v>
      </c>
      <c r="K234" s="3">
        <v>26</v>
      </c>
      <c r="L234" s="27" t="str">
        <f>IF(OR(J234="Sim",M234="Sim",I234/H234&gt;=2,N234/H234&gt;=5),"Alto",IF(OR(I234/H234&gt;=1,N234/H234&gt;=3,K234&gt;=30),"Médio","Baixo"))</f>
        <v>Baixo</v>
      </c>
      <c r="M234" s="23" t="s">
        <v>38</v>
      </c>
      <c r="N234" s="29">
        <v>36000</v>
      </c>
    </row>
    <row r="235" spans="1:14" ht="15.75">
      <c r="A235" s="27" t="s">
        <v>13</v>
      </c>
      <c r="B235" s="27" t="str">
        <f ca="1">PROPER(Tabela1[[#This Row],[nome]])</f>
        <v>Yara Mallister</v>
      </c>
      <c r="C235" s="30" t="s">
        <v>736</v>
      </c>
      <c r="D235" s="3">
        <v>44</v>
      </c>
      <c r="E235" s="5">
        <v>29892</v>
      </c>
      <c r="F235" s="27" t="s">
        <v>41</v>
      </c>
      <c r="G235" s="27" t="s">
        <v>46</v>
      </c>
      <c r="H235" s="6">
        <v>20600</v>
      </c>
      <c r="I235" s="6">
        <v>8000</v>
      </c>
      <c r="J235" s="23" t="s">
        <v>38</v>
      </c>
      <c r="K235" s="3">
        <v>39</v>
      </c>
      <c r="L235" s="27" t="str">
        <f>IF(OR(J235="Sim",M235="Sim",I235/H235&gt;=2,N235/H235&gt;=5),"Alto",IF(OR(I235/H235&gt;=1,N235/H235&gt;=3,K235&gt;=30),"Médio","Baixo"))</f>
        <v>Médio</v>
      </c>
      <c r="M235" s="23" t="s">
        <v>38</v>
      </c>
      <c r="N235" s="29">
        <v>36000</v>
      </c>
    </row>
    <row r="236" spans="1:14" ht="15.75">
      <c r="A236" s="27" t="s">
        <v>13</v>
      </c>
      <c r="B236" s="27" t="str">
        <f ca="1">PROPER(Tabela1[[#This Row],[nome]])</f>
        <v>Catelyn Westerling</v>
      </c>
      <c r="C236" s="30" t="s">
        <v>768</v>
      </c>
      <c r="D236" s="3">
        <v>70</v>
      </c>
      <c r="E236" s="5">
        <v>20515</v>
      </c>
      <c r="F236" s="27" t="s">
        <v>65</v>
      </c>
      <c r="G236" s="27" t="s">
        <v>60</v>
      </c>
      <c r="H236" s="6">
        <v>19500</v>
      </c>
      <c r="I236" s="6">
        <v>62000</v>
      </c>
      <c r="J236" s="23" t="s">
        <v>18</v>
      </c>
      <c r="K236" s="3">
        <v>45</v>
      </c>
      <c r="L236" s="27" t="str">
        <f>IF(OR(J236="Sim",M236="Sim",I236/H236&gt;=2,N236/H236&gt;=5),"Alto",IF(OR(I236/H236&gt;=1,N236/H236&gt;=3,K236&gt;=30),"Médio","Baixo"))</f>
        <v>Alto</v>
      </c>
      <c r="M236" s="23" t="s">
        <v>18</v>
      </c>
      <c r="N236" s="29">
        <v>35500</v>
      </c>
    </row>
    <row r="237" spans="1:14" ht="15.75">
      <c r="A237" s="27" t="s">
        <v>13</v>
      </c>
      <c r="B237" s="27" t="str">
        <f ca="1">PROPER(Tabela1[[#This Row],[nome]])</f>
        <v>Bronn Crakehall</v>
      </c>
      <c r="C237" s="30" t="s">
        <v>768</v>
      </c>
      <c r="D237" s="3">
        <v>68</v>
      </c>
      <c r="E237" s="5">
        <v>21079</v>
      </c>
      <c r="F237" s="27" t="s">
        <v>183</v>
      </c>
      <c r="G237" s="27" t="s">
        <v>397</v>
      </c>
      <c r="H237" s="6">
        <v>3600</v>
      </c>
      <c r="I237" s="6">
        <v>64500</v>
      </c>
      <c r="J237" s="23" t="s">
        <v>18</v>
      </c>
      <c r="K237" s="3">
        <v>32</v>
      </c>
      <c r="L237" s="27" t="str">
        <f>IF(OR(J237="Sim",M237="Sim",I237/H237&gt;=2,N237/H237&gt;=5),"Alto",IF(OR(I237/H237&gt;=1,N237/H237&gt;=3,K237&gt;=30),"Médio","Baixo"))</f>
        <v>Alto</v>
      </c>
      <c r="M237" s="23" t="s">
        <v>18</v>
      </c>
      <c r="N237" s="29">
        <v>35500</v>
      </c>
    </row>
    <row r="238" spans="1:14" ht="15.75">
      <c r="A238" s="27" t="s">
        <v>13</v>
      </c>
      <c r="B238" s="27" t="str">
        <f ca="1">PROPER(Tabela1[[#This Row],[nome]])</f>
        <v>Podrick Swyft</v>
      </c>
      <c r="C238" s="30" t="s">
        <v>83</v>
      </c>
      <c r="D238" s="3">
        <v>32</v>
      </c>
      <c r="E238" s="5">
        <v>34457</v>
      </c>
      <c r="F238" s="27" t="s">
        <v>76</v>
      </c>
      <c r="G238" s="27" t="s">
        <v>77</v>
      </c>
      <c r="H238" s="6">
        <v>21300</v>
      </c>
      <c r="I238" s="6">
        <v>48000</v>
      </c>
      <c r="J238" s="23" t="s">
        <v>38</v>
      </c>
      <c r="K238" s="3">
        <v>11</v>
      </c>
      <c r="L238" s="27" t="str">
        <f>IF(OR(J238="Sim",M238="Sim",I238/H238&gt;=2,N238/H238&gt;=5),"Alto",IF(OR(I238/H238&gt;=1,N238/H238&gt;=3,K238&gt;=30),"Médio","Baixo"))</f>
        <v>Alto</v>
      </c>
      <c r="M238" s="23" t="s">
        <v>38</v>
      </c>
      <c r="N238" s="29">
        <v>35000</v>
      </c>
    </row>
    <row r="239" spans="1:14" ht="15.75">
      <c r="A239" s="27" t="s">
        <v>13</v>
      </c>
      <c r="B239" s="27" t="str">
        <f ca="1">PROPER(Tabela1[[#This Row],[nome]])</f>
        <v>Bran Yronwood</v>
      </c>
      <c r="C239" s="30" t="s">
        <v>128</v>
      </c>
      <c r="D239" s="3">
        <v>42</v>
      </c>
      <c r="E239" s="5">
        <v>30878</v>
      </c>
      <c r="F239" s="27" t="s">
        <v>50</v>
      </c>
      <c r="G239" s="27" t="s">
        <v>70</v>
      </c>
      <c r="H239" s="6">
        <v>17500</v>
      </c>
      <c r="I239" s="6">
        <v>3500</v>
      </c>
      <c r="J239" s="23" t="s">
        <v>38</v>
      </c>
      <c r="K239" s="3">
        <v>25</v>
      </c>
      <c r="L239" s="27" t="str">
        <f>IF(OR(J239="Sim",M239="Sim",I239/H239&gt;=2,N239/H239&gt;=5),"Alto",IF(OR(I239/H239&gt;=1,N239/H239&gt;=3,K239&gt;=30),"Médio","Baixo"))</f>
        <v>Baixo</v>
      </c>
      <c r="M239" s="23" t="s">
        <v>38</v>
      </c>
      <c r="N239" s="29">
        <v>35000</v>
      </c>
    </row>
    <row r="240" spans="1:14" ht="15.75">
      <c r="A240" s="27" t="s">
        <v>13</v>
      </c>
      <c r="B240" s="27" t="str">
        <f ca="1">PROPER(Tabela1[[#This Row],[nome]])</f>
        <v>Daenerys Seaworth</v>
      </c>
      <c r="C240" s="30" t="s">
        <v>150</v>
      </c>
      <c r="D240" s="3">
        <v>54</v>
      </c>
      <c r="E240" s="5">
        <v>26213</v>
      </c>
      <c r="F240" s="27" t="s">
        <v>86</v>
      </c>
      <c r="G240" s="27" t="s">
        <v>87</v>
      </c>
      <c r="H240" s="6">
        <v>29700</v>
      </c>
      <c r="I240" s="6">
        <v>34000</v>
      </c>
      <c r="J240" s="23" t="s">
        <v>38</v>
      </c>
      <c r="K240" s="3">
        <v>35</v>
      </c>
      <c r="L240" s="27" t="str">
        <f>IF(OR(J240="Sim",M240="Sim",I240/H240&gt;=2,N240/H240&gt;=5),"Alto",IF(OR(I240/H240&gt;=1,N240/H240&gt;=3,K240&gt;=30),"Médio","Baixo"))</f>
        <v>Médio</v>
      </c>
      <c r="M240" s="23" t="s">
        <v>38</v>
      </c>
      <c r="N240" s="29">
        <v>35000</v>
      </c>
    </row>
    <row r="241" spans="1:14" ht="15.75">
      <c r="A241" s="27" t="s">
        <v>13</v>
      </c>
      <c r="B241" s="27" t="str">
        <f ca="1">PROPER(Tabela1[[#This Row],[nome]])</f>
        <v>Cersei Tarth</v>
      </c>
      <c r="C241" s="30" t="s">
        <v>638</v>
      </c>
      <c r="D241" s="3">
        <v>52</v>
      </c>
      <c r="E241" s="5">
        <v>26921</v>
      </c>
      <c r="F241" s="27" t="s">
        <v>92</v>
      </c>
      <c r="G241" s="27" t="s">
        <v>80</v>
      </c>
      <c r="H241" s="6">
        <v>7300</v>
      </c>
      <c r="I241" s="6">
        <v>74000</v>
      </c>
      <c r="J241" s="23" t="s">
        <v>38</v>
      </c>
      <c r="K241" s="3">
        <v>40</v>
      </c>
      <c r="L241" s="27" t="str">
        <f>IF(OR(J241="Sim",M241="Sim",I241/H241&gt;=2,N241/H241&gt;=5),"Alto",IF(OR(I241/H241&gt;=1,N241/H241&gt;=3,K241&gt;=30),"Médio","Baixo"))</f>
        <v>Alto</v>
      </c>
      <c r="M241" s="23" t="s">
        <v>38</v>
      </c>
      <c r="N241" s="29">
        <v>34500</v>
      </c>
    </row>
    <row r="242" spans="1:14" ht="15.75">
      <c r="A242" s="27" t="s">
        <v>13</v>
      </c>
      <c r="B242" s="27" t="str">
        <f ca="1">PROPER(Tabela1[[#This Row],[nome]])</f>
        <v>Brienne Glover</v>
      </c>
      <c r="C242" s="30" t="s">
        <v>689</v>
      </c>
      <c r="D242" s="3">
        <v>67</v>
      </c>
      <c r="E242" s="5">
        <v>21522</v>
      </c>
      <c r="F242" s="27" t="s">
        <v>243</v>
      </c>
      <c r="G242" s="27" t="s">
        <v>22</v>
      </c>
      <c r="H242" s="6">
        <v>11300</v>
      </c>
      <c r="I242" s="6">
        <v>49500</v>
      </c>
      <c r="J242" s="23" t="s">
        <v>38</v>
      </c>
      <c r="K242" s="3">
        <v>12</v>
      </c>
      <c r="L242" s="27" t="str">
        <f>IF(OR(J242="Sim",M242="Sim",I242/H242&gt;=2,N242/H242&gt;=5),"Alto",IF(OR(I242/H242&gt;=1,N242/H242&gt;=3,K242&gt;=30),"Médio","Baixo"))</f>
        <v>Alto</v>
      </c>
      <c r="M242" s="23" t="s">
        <v>38</v>
      </c>
      <c r="N242" s="29">
        <v>34500</v>
      </c>
    </row>
    <row r="243" spans="1:14" ht="15.75">
      <c r="A243" s="27" t="s">
        <v>13</v>
      </c>
      <c r="B243" s="27" t="str">
        <f ca="1">PROPER(Tabela1[[#This Row],[nome]])</f>
        <v>Catelyn  Dayne</v>
      </c>
      <c r="C243" s="30" t="s">
        <v>698</v>
      </c>
      <c r="D243" s="3">
        <v>68</v>
      </c>
      <c r="E243" s="5">
        <v>21145</v>
      </c>
      <c r="F243" s="27" t="s">
        <v>21</v>
      </c>
      <c r="G243" s="27" t="s">
        <v>22</v>
      </c>
      <c r="H243" s="6">
        <v>24500</v>
      </c>
      <c r="I243" s="6">
        <v>16500</v>
      </c>
      <c r="J243" s="23" t="s">
        <v>38</v>
      </c>
      <c r="K243" s="3">
        <v>22</v>
      </c>
      <c r="L243" s="27" t="str">
        <f>IF(OR(J243="Sim",M243="Sim",I243/H243&gt;=2,N243/H243&gt;=5),"Alto",IF(OR(I243/H243&gt;=1,N243/H243&gt;=3,K243&gt;=30),"Médio","Baixo"))</f>
        <v>Baixo</v>
      </c>
      <c r="M243" s="23" t="s">
        <v>38</v>
      </c>
      <c r="N243" s="29">
        <v>34500</v>
      </c>
    </row>
    <row r="244" spans="1:14" ht="15.75">
      <c r="A244" s="27" t="s">
        <v>13</v>
      </c>
      <c r="B244" s="27" t="str">
        <f ca="1">PROPER(Tabela1[[#This Row],[nome]])</f>
        <v>Melisandre Baratheon</v>
      </c>
      <c r="C244" s="30" t="s">
        <v>142</v>
      </c>
      <c r="D244" s="3">
        <v>22</v>
      </c>
      <c r="E244" s="5"/>
      <c r="F244" s="27" t="s">
        <v>59</v>
      </c>
      <c r="G244" s="27" t="s">
        <v>60</v>
      </c>
      <c r="H244" s="6">
        <v>14400</v>
      </c>
      <c r="I244" s="8">
        <v>0</v>
      </c>
      <c r="J244" s="23" t="s">
        <v>38</v>
      </c>
      <c r="K244" s="3">
        <v>27</v>
      </c>
      <c r="L244" s="27" t="str">
        <f>IF(OR(J244="Sim",M244="Sim",I244/H244&gt;=2,N244/H244&gt;=5),"Alto",IF(OR(I244/H244&gt;=1,N244/H244&gt;=3,K244&gt;=30),"Médio","Baixo"))</f>
        <v>Baixo</v>
      </c>
      <c r="M244" s="23" t="s">
        <v>38</v>
      </c>
      <c r="N244" s="29">
        <v>33500</v>
      </c>
    </row>
    <row r="245" spans="1:14" ht="15.75">
      <c r="A245" s="27" t="s">
        <v>13</v>
      </c>
      <c r="B245" s="27" t="str">
        <f ca="1">PROPER(Tabela1[[#This Row],[nome]])</f>
        <v>Daario Tyrell</v>
      </c>
      <c r="C245" s="30" t="s">
        <v>200</v>
      </c>
      <c r="D245" s="3">
        <v>51</v>
      </c>
      <c r="E245" s="5">
        <v>27377</v>
      </c>
      <c r="F245" s="27" t="s">
        <v>50</v>
      </c>
      <c r="G245" s="27" t="s">
        <v>70</v>
      </c>
      <c r="H245" s="6">
        <v>16300</v>
      </c>
      <c r="I245" s="6" t="s">
        <v>768</v>
      </c>
      <c r="J245" s="23" t="s">
        <v>38</v>
      </c>
      <c r="K245" s="3">
        <v>8</v>
      </c>
      <c r="L245" s="27" t="s">
        <v>770</v>
      </c>
      <c r="M245" s="23" t="s">
        <v>38</v>
      </c>
      <c r="N245" s="29">
        <v>33000</v>
      </c>
    </row>
    <row r="246" spans="1:14" ht="15.75">
      <c r="A246" s="27" t="s">
        <v>13</v>
      </c>
      <c r="B246" s="27" t="str">
        <f ca="1">PROPER(Tabela1[[#This Row],[nome]])</f>
        <v>Jaime Yronwood</v>
      </c>
      <c r="C246" s="30" t="s">
        <v>768</v>
      </c>
      <c r="D246" s="3">
        <v>24</v>
      </c>
      <c r="E246" s="5"/>
      <c r="F246" s="27" t="s">
        <v>26</v>
      </c>
      <c r="G246" s="27" t="s">
        <v>27</v>
      </c>
      <c r="H246" s="6">
        <v>17000</v>
      </c>
      <c r="I246" s="6">
        <v>41000</v>
      </c>
      <c r="J246" s="23" t="s">
        <v>38</v>
      </c>
      <c r="K246" s="3">
        <v>37</v>
      </c>
      <c r="L246" s="27" t="str">
        <f>IF(OR(J246="Sim",M246="Sim",I246/H246&gt;=2,N246/H246&gt;=5),"Alto",IF(OR(I246/H246&gt;=1,N246/H246&gt;=3,K246&gt;=30),"Médio","Baixo"))</f>
        <v>Alto</v>
      </c>
      <c r="M246" s="23" t="s">
        <v>38</v>
      </c>
      <c r="N246" s="29">
        <v>33000</v>
      </c>
    </row>
    <row r="247" spans="1:14" ht="15.75">
      <c r="A247" s="27" t="s">
        <v>13</v>
      </c>
      <c r="B247" s="27" t="str">
        <f ca="1">PROPER(Tabela1[[#This Row],[nome]])</f>
        <v>Theon Karstark</v>
      </c>
      <c r="C247" s="30" t="s">
        <v>592</v>
      </c>
      <c r="D247" s="3">
        <v>71</v>
      </c>
      <c r="E247" s="5">
        <v>20187</v>
      </c>
      <c r="F247" s="27" t="s">
        <v>65</v>
      </c>
      <c r="G247" s="27" t="s">
        <v>60</v>
      </c>
      <c r="H247" s="6">
        <v>29200</v>
      </c>
      <c r="I247" s="6">
        <v>73500</v>
      </c>
      <c r="J247" s="23" t="s">
        <v>38</v>
      </c>
      <c r="K247" s="3">
        <v>2</v>
      </c>
      <c r="L247" s="27" t="str">
        <f>IF(OR(J247="Sim",M247="Sim",I247/H247&gt;=2,N247/H247&gt;=5),"Alto",IF(OR(I247/H247&gt;=1,N247/H247&gt;=3,K247&gt;=30),"Médio","Baixo"))</f>
        <v>Alto</v>
      </c>
      <c r="M247" s="23" t="s">
        <v>38</v>
      </c>
      <c r="N247" s="29">
        <v>33000</v>
      </c>
    </row>
    <row r="248" spans="1:14" ht="15.75">
      <c r="A248" s="27" t="s">
        <v>13</v>
      </c>
      <c r="B248" s="27" t="str">
        <f ca="1">PROPER(Tabela1[[#This Row],[nome]])</f>
        <v>Bronn Royce</v>
      </c>
      <c r="C248" s="30" t="s">
        <v>768</v>
      </c>
      <c r="D248" s="3">
        <v>61</v>
      </c>
      <c r="E248" s="5">
        <v>23928</v>
      </c>
      <c r="F248" s="27" t="s">
        <v>243</v>
      </c>
      <c r="G248" s="27" t="s">
        <v>22</v>
      </c>
      <c r="H248" s="6">
        <v>22900</v>
      </c>
      <c r="I248" s="6">
        <v>7500</v>
      </c>
      <c r="J248" s="23" t="s">
        <v>38</v>
      </c>
      <c r="K248" s="3">
        <v>12</v>
      </c>
      <c r="L248" s="27" t="str">
        <f>IF(OR(J248="Sim",M248="Sim",I248/H248&gt;=2,N248/H248&gt;=5),"Alto",IF(OR(I248/H248&gt;=1,N248/H248&gt;=3,K248&gt;=30),"Médio","Baixo"))</f>
        <v>Baixo</v>
      </c>
      <c r="M248" s="23" t="s">
        <v>38</v>
      </c>
      <c r="N248" s="29">
        <v>33000</v>
      </c>
    </row>
    <row r="249" spans="1:14" ht="15.75">
      <c r="A249" s="27" t="s">
        <v>13</v>
      </c>
      <c r="B249" s="27" t="str">
        <f ca="1">PROPER(Tabela1[[#This Row],[nome]])</f>
        <v>Olenna Baelish</v>
      </c>
      <c r="C249" s="30" t="s">
        <v>40</v>
      </c>
      <c r="D249" s="3">
        <v>48</v>
      </c>
      <c r="E249" s="5">
        <v>28647</v>
      </c>
      <c r="F249" s="27" t="s">
        <v>41</v>
      </c>
      <c r="G249" s="27" t="s">
        <v>46</v>
      </c>
      <c r="H249" s="6">
        <v>13200</v>
      </c>
      <c r="I249" s="6">
        <v>3500</v>
      </c>
      <c r="J249" s="23" t="s">
        <v>38</v>
      </c>
      <c r="K249" s="3">
        <v>1</v>
      </c>
      <c r="L249" s="27" t="str">
        <f>IF(OR(J249="Sim",M249="Sim",I249/H249&gt;=2,N249/H249&gt;=5),"Alto",IF(OR(I249/H249&gt;=1,N249/H249&gt;=3,K249&gt;=30),"Médio","Baixo"))</f>
        <v>Baixo</v>
      </c>
      <c r="M249" s="23" t="s">
        <v>38</v>
      </c>
      <c r="N249" s="29">
        <v>32500</v>
      </c>
    </row>
    <row r="250" spans="1:14" ht="15.75">
      <c r="A250" s="27" t="s">
        <v>13</v>
      </c>
      <c r="B250" s="27" t="str">
        <f ca="1">PROPER(Tabela1[[#This Row],[nome]])</f>
        <v>Brienne Manderly</v>
      </c>
      <c r="C250" s="30" t="s">
        <v>45</v>
      </c>
      <c r="D250" s="3">
        <v>28</v>
      </c>
      <c r="E250" s="5">
        <v>35830</v>
      </c>
      <c r="F250" s="27" t="s">
        <v>41</v>
      </c>
      <c r="G250" s="27" t="s">
        <v>46</v>
      </c>
      <c r="H250" s="6">
        <v>8600</v>
      </c>
      <c r="I250" s="6">
        <v>19000</v>
      </c>
      <c r="J250" s="23" t="s">
        <v>18</v>
      </c>
      <c r="K250" s="3">
        <v>4</v>
      </c>
      <c r="L250" s="27" t="str">
        <f>IF(OR(J250="Sim",M250="Sim",I250/H250&gt;=2,N250/H250&gt;=5),"Alto",IF(OR(I250/H250&gt;=1,N250/H250&gt;=3,K250&gt;=30),"Médio","Baixo"))</f>
        <v>Alto</v>
      </c>
      <c r="M250" s="23" t="s">
        <v>18</v>
      </c>
      <c r="N250" s="29">
        <v>32500</v>
      </c>
    </row>
    <row r="251" spans="1:14" ht="15.75">
      <c r="A251" s="27" t="s">
        <v>13</v>
      </c>
      <c r="B251" s="27" t="str">
        <f ca="1">PROPER(Tabela1[[#This Row],[nome]])</f>
        <v>Robert Mallister</v>
      </c>
      <c r="C251" s="30" t="s">
        <v>471</v>
      </c>
      <c r="D251" s="3">
        <v>25</v>
      </c>
      <c r="E251" s="5">
        <v>36824</v>
      </c>
      <c r="F251" s="27" t="s">
        <v>79</v>
      </c>
      <c r="G251" s="27" t="s">
        <v>80</v>
      </c>
      <c r="H251" s="6">
        <v>18300</v>
      </c>
      <c r="I251" s="6">
        <v>41000</v>
      </c>
      <c r="J251" s="23" t="s">
        <v>38</v>
      </c>
      <c r="K251" s="3">
        <v>9</v>
      </c>
      <c r="L251" s="27" t="str">
        <f>IF(OR(J251="Sim",M251="Sim",I251/H251&gt;=2,N251/H251&gt;=5),"Alto",IF(OR(I251/H251&gt;=1,N251/H251&gt;=3,K251&gt;=30),"Médio","Baixo"))</f>
        <v>Alto</v>
      </c>
      <c r="M251" s="23" t="s">
        <v>38</v>
      </c>
      <c r="N251" s="29">
        <v>32500</v>
      </c>
    </row>
    <row r="252" spans="1:14" ht="15.75">
      <c r="A252" s="27" t="s">
        <v>13</v>
      </c>
      <c r="B252" s="27" t="str">
        <f ca="1">PROPER(Tabela1[[#This Row],[nome]])</f>
        <v>Bronn Mallister</v>
      </c>
      <c r="C252" s="30" t="s">
        <v>261</v>
      </c>
      <c r="D252" s="3">
        <v>35</v>
      </c>
      <c r="E252" s="5"/>
      <c r="F252" s="27" t="s">
        <v>86</v>
      </c>
      <c r="G252" s="27" t="s">
        <v>87</v>
      </c>
      <c r="H252" s="6">
        <v>28000</v>
      </c>
      <c r="I252" s="6">
        <v>76500</v>
      </c>
      <c r="J252" s="23" t="s">
        <v>38</v>
      </c>
      <c r="K252" s="3">
        <v>39</v>
      </c>
      <c r="L252" s="27" t="str">
        <f>IF(OR(J252="Sim",M252="Sim",I252/H252&gt;=2,N252/H252&gt;=5),"Alto",IF(OR(I252/H252&gt;=1,N252/H252&gt;=3,K252&gt;=30),"Médio","Baixo"))</f>
        <v>Alto</v>
      </c>
      <c r="M252" s="23" t="s">
        <v>38</v>
      </c>
      <c r="N252" s="29">
        <v>32000</v>
      </c>
    </row>
    <row r="253" spans="1:14" ht="15.75">
      <c r="A253" s="27" t="s">
        <v>13</v>
      </c>
      <c r="B253" s="27" t="str">
        <f ca="1">PROPER(Tabela1[[#This Row],[nome]])</f>
        <v>Lyanna Tarly</v>
      </c>
      <c r="C253" s="30" t="s">
        <v>636</v>
      </c>
      <c r="D253" s="3">
        <v>28</v>
      </c>
      <c r="E253" s="5"/>
      <c r="F253" s="27" t="s">
        <v>65</v>
      </c>
      <c r="G253" s="27" t="s">
        <v>60</v>
      </c>
      <c r="H253" s="6">
        <v>14500</v>
      </c>
      <c r="I253" s="6">
        <v>39500</v>
      </c>
      <c r="J253" s="23" t="s">
        <v>38</v>
      </c>
      <c r="K253" s="3">
        <v>18</v>
      </c>
      <c r="L253" s="27" t="str">
        <f>IF(OR(J253="Sim",M253="Sim",I253/H253&gt;=2,N253/H253&gt;=5),"Alto",IF(OR(I253/H253&gt;=1,N253/H253&gt;=3,K253&gt;=30),"Médio","Baixo"))</f>
        <v>Alto</v>
      </c>
      <c r="M253" s="23" t="s">
        <v>38</v>
      </c>
      <c r="N253" s="29">
        <v>32000</v>
      </c>
    </row>
    <row r="254" spans="1:14" ht="15.75">
      <c r="A254" s="27"/>
      <c r="B254" s="27" t="str">
        <f ca="1">PROPER(Tabela1[[#This Row],[nome]])</f>
        <v>Viserys Hightower</v>
      </c>
      <c r="C254" s="30" t="s">
        <v>749</v>
      </c>
      <c r="D254" s="3">
        <v>54</v>
      </c>
      <c r="E254" s="5">
        <v>26403</v>
      </c>
      <c r="F254" s="27" t="s">
        <v>155</v>
      </c>
      <c r="G254" s="27" t="s">
        <v>87</v>
      </c>
      <c r="H254" s="6">
        <v>20800</v>
      </c>
      <c r="I254" s="6">
        <v>16000</v>
      </c>
      <c r="J254" s="23" t="s">
        <v>38</v>
      </c>
      <c r="K254" s="3">
        <v>32</v>
      </c>
      <c r="L254" s="27" t="str">
        <f>IF(OR(J254="Sim",M254="Sim",I254/H254&gt;=2,N254/H254&gt;=5),"Alto",IF(OR(I254/H254&gt;=1,N254/H254&gt;=3,K254&gt;=30),"Médio","Baixo"))</f>
        <v>Médio</v>
      </c>
      <c r="M254" s="23" t="s">
        <v>38</v>
      </c>
      <c r="N254" s="29">
        <v>31500</v>
      </c>
    </row>
    <row r="255" spans="1:14" ht="15.75">
      <c r="A255" s="27" t="s">
        <v>13</v>
      </c>
      <c r="B255" s="27" t="str">
        <f ca="1">PROPER(Tabela1[[#This Row],[nome]])</f>
        <v>Olenna Bracken</v>
      </c>
      <c r="C255" s="30" t="s">
        <v>364</v>
      </c>
      <c r="D255" s="3">
        <v>45</v>
      </c>
      <c r="E255" s="5">
        <v>29598</v>
      </c>
      <c r="F255" s="27" t="s">
        <v>41</v>
      </c>
      <c r="G255" s="27" t="s">
        <v>46</v>
      </c>
      <c r="H255" s="6">
        <v>22800</v>
      </c>
      <c r="I255" s="6" t="s">
        <v>768</v>
      </c>
      <c r="J255" s="23" t="s">
        <v>38</v>
      </c>
      <c r="K255" s="3">
        <v>10</v>
      </c>
      <c r="L255" s="27" t="s">
        <v>771</v>
      </c>
      <c r="M255" s="23" t="s">
        <v>38</v>
      </c>
      <c r="N255" s="29">
        <v>31000</v>
      </c>
    </row>
    <row r="256" spans="1:14" ht="15.75">
      <c r="A256" s="27" t="s">
        <v>13</v>
      </c>
      <c r="B256" s="27" t="str">
        <f ca="1">PROPER(Tabela1[[#This Row],[nome]])</f>
        <v>Bronn Blackwood</v>
      </c>
      <c r="C256" s="30" t="s">
        <v>387</v>
      </c>
      <c r="D256" s="3">
        <v>43</v>
      </c>
      <c r="E256" s="5">
        <v>30309</v>
      </c>
      <c r="F256" s="27" t="s">
        <v>183</v>
      </c>
      <c r="G256" s="27" t="s">
        <v>397</v>
      </c>
      <c r="H256" s="6">
        <v>18400</v>
      </c>
      <c r="I256" s="6">
        <v>62000</v>
      </c>
      <c r="J256" s="23" t="s">
        <v>38</v>
      </c>
      <c r="K256" s="3">
        <v>33</v>
      </c>
      <c r="L256" s="27" t="str">
        <f>IF(OR(J256="Sim",M256="Sim",I256/H256&gt;=2,N256/H256&gt;=5),"Alto",IF(OR(I256/H256&gt;=1,N256/H256&gt;=3,K256&gt;=30),"Médio","Baixo"))</f>
        <v>Alto</v>
      </c>
      <c r="M256" s="23" t="s">
        <v>38</v>
      </c>
      <c r="N256" s="29">
        <v>31000</v>
      </c>
    </row>
    <row r="257" spans="1:14" ht="15.75">
      <c r="A257" s="27" t="s">
        <v>19</v>
      </c>
      <c r="B257" s="27" t="str">
        <f ca="1">PROPER(Tabela1[[#This Row],[nome]])</f>
        <v>Varys  Blackwood</v>
      </c>
      <c r="C257" s="30" t="s">
        <v>768</v>
      </c>
      <c r="D257" s="3">
        <v>54</v>
      </c>
      <c r="E257" s="5">
        <v>26453</v>
      </c>
      <c r="F257" s="27" t="s">
        <v>183</v>
      </c>
      <c r="G257" s="27" t="s">
        <v>397</v>
      </c>
      <c r="H257" s="6">
        <v>3900</v>
      </c>
      <c r="I257" s="6">
        <v>80000</v>
      </c>
      <c r="J257" s="23" t="s">
        <v>38</v>
      </c>
      <c r="K257" s="3">
        <v>41</v>
      </c>
      <c r="L257" s="27" t="str">
        <f>IF(OR(J257="Sim",M257="Sim",I257/H257&gt;=2,N257/H257&gt;=5),"Alto",IF(OR(I257/H257&gt;=1,N257/H257&gt;=3,K257&gt;=30),"Médio","Baixo"))</f>
        <v>Alto</v>
      </c>
      <c r="M257" s="23" t="s">
        <v>38</v>
      </c>
      <c r="N257" s="29">
        <v>30000</v>
      </c>
    </row>
    <row r="258" spans="1:14" ht="15.75">
      <c r="A258" s="27" t="s">
        <v>13</v>
      </c>
      <c r="B258" s="27" t="str">
        <f ca="1">PROPER(Tabela1[[#This Row],[nome]])</f>
        <v>Podrick Dayne</v>
      </c>
      <c r="C258" s="30" t="s">
        <v>768</v>
      </c>
      <c r="D258" s="3">
        <v>25</v>
      </c>
      <c r="E258" s="5">
        <v>36831</v>
      </c>
      <c r="F258" s="27" t="s">
        <v>86</v>
      </c>
      <c r="G258" s="27" t="s">
        <v>87</v>
      </c>
      <c r="H258" s="6">
        <v>9400</v>
      </c>
      <c r="I258" s="6">
        <v>51500</v>
      </c>
      <c r="J258" s="23" t="s">
        <v>38</v>
      </c>
      <c r="K258" s="3">
        <v>14</v>
      </c>
      <c r="L258" s="27" t="str">
        <f>IF(OR(J258="Sim",M258="Sim",I258/H258&gt;=2,N258/H258&gt;=5),"Alto",IF(OR(I258/H258&gt;=1,N258/H258&gt;=3,K258&gt;=30),"Médio","Baixo"))</f>
        <v>Alto</v>
      </c>
      <c r="M258" s="23" t="s">
        <v>38</v>
      </c>
      <c r="N258" s="29">
        <v>29500</v>
      </c>
    </row>
    <row r="259" spans="1:14" ht="15.75">
      <c r="A259" s="27" t="s">
        <v>19</v>
      </c>
      <c r="B259" s="27" t="str">
        <f ca="1">PROPER(Tabela1[[#This Row],[nome]])</f>
        <v>Davos Umber</v>
      </c>
      <c r="C259" s="30" t="s">
        <v>655</v>
      </c>
      <c r="D259" s="3">
        <v>74</v>
      </c>
      <c r="E259" s="5">
        <v>19047</v>
      </c>
      <c r="F259" s="27" t="s">
        <v>41</v>
      </c>
      <c r="G259" s="27" t="s">
        <v>46</v>
      </c>
      <c r="H259" s="6">
        <v>24000</v>
      </c>
      <c r="I259" s="6">
        <v>35000</v>
      </c>
      <c r="J259" s="23" t="s">
        <v>38</v>
      </c>
      <c r="K259" s="3">
        <v>6</v>
      </c>
      <c r="L259" s="27" t="str">
        <f>IF(OR(J259="Sim",M259="Sim",I259/H259&gt;=2,N259/H259&gt;=5),"Alto",IF(OR(I259/H259&gt;=1,N259/H259&gt;=3,K259&gt;=30),"Médio","Baixo"))</f>
        <v>Médio</v>
      </c>
      <c r="M259" s="23" t="s">
        <v>38</v>
      </c>
      <c r="N259" s="29">
        <v>29500</v>
      </c>
    </row>
    <row r="260" spans="1:14" ht="15.75">
      <c r="A260" s="27" t="s">
        <v>13</v>
      </c>
      <c r="B260" s="27" t="str">
        <f ca="1">PROPER(Tabela1[[#This Row],[nome]])</f>
        <v>Aegon Redwyne</v>
      </c>
      <c r="C260" s="30" t="s">
        <v>658</v>
      </c>
      <c r="D260" s="3">
        <v>19</v>
      </c>
      <c r="E260" s="5">
        <v>39016</v>
      </c>
      <c r="F260" s="27" t="s">
        <v>50</v>
      </c>
      <c r="G260" s="27" t="s">
        <v>70</v>
      </c>
      <c r="H260" s="6">
        <v>14900</v>
      </c>
      <c r="I260" s="6">
        <v>17000</v>
      </c>
      <c r="J260" s="23" t="s">
        <v>38</v>
      </c>
      <c r="K260" s="3">
        <v>20</v>
      </c>
      <c r="L260" s="27" t="str">
        <f>IF(OR(J260="Sim",M260="Sim",I260/H260&gt;=2,N260/H260&gt;=5),"Alto",IF(OR(I260/H260&gt;=1,N260/H260&gt;=3,K260&gt;=30),"Médio","Baixo"))</f>
        <v>Médio</v>
      </c>
      <c r="M260" s="23" t="s">
        <v>38</v>
      </c>
      <c r="N260" s="29">
        <v>29500</v>
      </c>
    </row>
    <row r="261" spans="1:14" ht="15.75">
      <c r="A261" s="27" t="s">
        <v>13</v>
      </c>
      <c r="B261" s="27" t="str">
        <f ca="1">PROPER(Tabela1[[#This Row],[nome]])</f>
        <v>Lyanna Marbrand</v>
      </c>
      <c r="C261" s="30" t="s">
        <v>233</v>
      </c>
      <c r="D261" s="3">
        <v>27</v>
      </c>
      <c r="E261" s="5">
        <v>36308</v>
      </c>
      <c r="F261" s="27" t="s">
        <v>76</v>
      </c>
      <c r="G261" s="27" t="s">
        <v>77</v>
      </c>
      <c r="H261" s="6">
        <v>5300</v>
      </c>
      <c r="I261" s="6">
        <v>22000</v>
      </c>
      <c r="J261" s="23" t="s">
        <v>185</v>
      </c>
      <c r="K261" s="3">
        <v>11</v>
      </c>
      <c r="L261" s="27" t="str">
        <f>IF(OR(J261="Sim",M261="Sim",I261/H261&gt;=2,N261/H261&gt;=5),"Alto",IF(OR(I261/H261&gt;=1,N261/H261&gt;=3,K261&gt;=30),"Médio","Baixo"))</f>
        <v>Alto</v>
      </c>
      <c r="M261" s="23" t="s">
        <v>38</v>
      </c>
      <c r="N261" s="29">
        <v>28500</v>
      </c>
    </row>
    <row r="262" spans="1:14" ht="15.75">
      <c r="A262" s="27" t="s">
        <v>13</v>
      </c>
      <c r="B262" s="27" t="str">
        <f ca="1">PROPER(Tabela1[[#This Row],[nome]])</f>
        <v>Thoros Westerling</v>
      </c>
      <c r="C262" s="30" t="s">
        <v>768</v>
      </c>
      <c r="D262" s="3">
        <v>27</v>
      </c>
      <c r="E262" s="5">
        <v>36152</v>
      </c>
      <c r="F262" s="27" t="s">
        <v>111</v>
      </c>
      <c r="G262" s="27" t="s">
        <v>87</v>
      </c>
      <c r="H262" s="6">
        <v>30000</v>
      </c>
      <c r="I262" s="6">
        <v>27000</v>
      </c>
      <c r="J262" s="23" t="s">
        <v>38</v>
      </c>
      <c r="K262" s="3">
        <v>28</v>
      </c>
      <c r="L262" s="27" t="str">
        <f>IF(OR(J262="Sim",M262="Sim",I262/H262&gt;=2,N262/H262&gt;=5),"Alto",IF(OR(I262/H262&gt;=1,N262/H262&gt;=3,K262&gt;=30),"Médio","Baixo"))</f>
        <v>Baixo</v>
      </c>
      <c r="M262" s="23" t="s">
        <v>38</v>
      </c>
      <c r="N262" s="29">
        <v>28500</v>
      </c>
    </row>
    <row r="263" spans="1:14" ht="15.75">
      <c r="A263" s="27" t="s">
        <v>13</v>
      </c>
      <c r="B263" s="27" t="str">
        <f ca="1">PROPER(Tabela1[[#This Row],[nome]])</f>
        <v>Yara Royce</v>
      </c>
      <c r="C263" s="30" t="s">
        <v>285</v>
      </c>
      <c r="D263" s="3">
        <v>65</v>
      </c>
      <c r="E263" s="5">
        <v>22436</v>
      </c>
      <c r="F263" s="27" t="s">
        <v>16</v>
      </c>
      <c r="G263" s="27" t="s">
        <v>17</v>
      </c>
      <c r="H263" s="6">
        <v>12700</v>
      </c>
      <c r="I263" s="6">
        <v>60500</v>
      </c>
      <c r="J263" s="23" t="s">
        <v>38</v>
      </c>
      <c r="K263" s="3">
        <v>36</v>
      </c>
      <c r="L263" s="27" t="str">
        <f>IF(OR(J263="Sim",M263="Sim",I263/H263&gt;=2,N263/H263&gt;=5),"Alto",IF(OR(I263/H263&gt;=1,N263/H263&gt;=3,K263&gt;=30),"Médio","Baixo"))</f>
        <v>Alto</v>
      </c>
      <c r="M263" s="23" t="s">
        <v>38</v>
      </c>
      <c r="N263" s="29">
        <v>28000</v>
      </c>
    </row>
    <row r="264" spans="1:14" ht="15.75">
      <c r="A264" s="27" t="s">
        <v>19</v>
      </c>
      <c r="B264" s="27" t="str">
        <f ca="1">PROPER(Tabela1[[#This Row],[nome]])</f>
        <v>Gilly Frey</v>
      </c>
      <c r="C264" s="30" t="s">
        <v>409</v>
      </c>
      <c r="D264" s="3">
        <v>33</v>
      </c>
      <c r="E264" s="5">
        <v>34154</v>
      </c>
      <c r="F264" s="27" t="s">
        <v>79</v>
      </c>
      <c r="G264" s="27" t="s">
        <v>80</v>
      </c>
      <c r="H264" s="6">
        <v>2400</v>
      </c>
      <c r="I264" s="6">
        <v>78000</v>
      </c>
      <c r="J264" s="23" t="s">
        <v>38</v>
      </c>
      <c r="K264" s="3">
        <v>6</v>
      </c>
      <c r="L264" s="27" t="str">
        <f>IF(OR(J264="Sim",M264="Sim",I264/H264&gt;=2,N264/H264&gt;=5),"Alto",IF(OR(I264/H264&gt;=1,N264/H264&gt;=3,K264&gt;=30),"Médio","Baixo"))</f>
        <v>Alto</v>
      </c>
      <c r="M264" s="23" t="s">
        <v>38</v>
      </c>
      <c r="N264" s="29">
        <v>28000</v>
      </c>
    </row>
    <row r="265" spans="1:14" ht="15.75">
      <c r="A265" s="27" t="s">
        <v>13</v>
      </c>
      <c r="B265" s="27" t="str">
        <f ca="1">PROPER(Tabela1[[#This Row],[nome]])</f>
        <v>Ellaria Targaryen</v>
      </c>
      <c r="C265" s="30" t="s">
        <v>706</v>
      </c>
      <c r="D265" s="3">
        <v>54</v>
      </c>
      <c r="E265" s="5">
        <v>26230</v>
      </c>
      <c r="F265" s="27" t="s">
        <v>100</v>
      </c>
      <c r="G265" s="27" t="s">
        <v>80</v>
      </c>
      <c r="H265" s="6">
        <v>18700</v>
      </c>
      <c r="I265" s="6">
        <v>46000</v>
      </c>
      <c r="J265" s="23" t="s">
        <v>18</v>
      </c>
      <c r="K265" s="3">
        <v>4</v>
      </c>
      <c r="L265" s="27" t="str">
        <f>IF(OR(J265="Sim",M265="Sim",I265/H265&gt;=2,N265/H265&gt;=5),"Alto",IF(OR(I265/H265&gt;=1,N265/H265&gt;=3,K265&gt;=30),"Médio","Baixo"))</f>
        <v>Alto</v>
      </c>
      <c r="M265" s="23" t="s">
        <v>18</v>
      </c>
      <c r="N265" s="29">
        <v>27500</v>
      </c>
    </row>
    <row r="266" spans="1:14" ht="15.75">
      <c r="A266" s="27" t="s">
        <v>19</v>
      </c>
      <c r="B266" s="27" t="str">
        <f ca="1">PROPER(Tabela1[[#This Row],[nome]])</f>
        <v>Eddard Stark</v>
      </c>
      <c r="C266" s="30" t="s">
        <v>633</v>
      </c>
      <c r="D266" s="3">
        <v>55</v>
      </c>
      <c r="E266" s="5">
        <v>26142</v>
      </c>
      <c r="F266" s="27" t="s">
        <v>16</v>
      </c>
      <c r="G266" s="27" t="s">
        <v>17</v>
      </c>
      <c r="H266" s="6">
        <v>29700</v>
      </c>
      <c r="I266" s="6">
        <v>78000</v>
      </c>
      <c r="J266" s="23" t="s">
        <v>18</v>
      </c>
      <c r="K266" s="3">
        <v>14</v>
      </c>
      <c r="L266" s="27" t="str">
        <f>IF(OR(J266="Sim",M266="Sim",I266/H266&gt;=2,N266/H266&gt;=5),"Alto",IF(OR(I266/H266&gt;=1,N266/H266&gt;=3,K266&gt;=30),"Médio","Baixo"))</f>
        <v>Alto</v>
      </c>
      <c r="M266" s="23" t="s">
        <v>18</v>
      </c>
      <c r="N266" s="29">
        <v>27000</v>
      </c>
    </row>
    <row r="267" spans="1:14" ht="15.75">
      <c r="A267" s="27" t="s">
        <v>13</v>
      </c>
      <c r="B267" s="27" t="str">
        <f ca="1">PROPER(Tabela1[[#This Row],[nome]])</f>
        <v>Asha Blackwood</v>
      </c>
      <c r="C267" s="30" t="s">
        <v>674</v>
      </c>
      <c r="D267" s="3">
        <v>50</v>
      </c>
      <c r="E267" s="5">
        <v>27886</v>
      </c>
      <c r="F267" s="27" t="s">
        <v>122</v>
      </c>
      <c r="G267" s="27" t="s">
        <v>122</v>
      </c>
      <c r="H267" s="6">
        <v>16100</v>
      </c>
      <c r="I267" s="6">
        <v>8000</v>
      </c>
      <c r="J267" s="23" t="s">
        <v>18</v>
      </c>
      <c r="K267" s="3">
        <v>30</v>
      </c>
      <c r="L267" s="27" t="str">
        <f>IF(OR(J267="Sim",M267="Sim",I267/H267&gt;=2,N267/H267&gt;=5),"Alto",IF(OR(I267/H267&gt;=1,N267/H267&gt;=3,K267&gt;=30),"Médio","Baixo"))</f>
        <v>Alto</v>
      </c>
      <c r="M267" s="23" t="s">
        <v>18</v>
      </c>
      <c r="N267" s="29">
        <v>27000</v>
      </c>
    </row>
    <row r="268" spans="1:14" ht="15.75">
      <c r="A268" s="27" t="s">
        <v>19</v>
      </c>
      <c r="B268" s="27" t="str">
        <f ca="1">PROPER(Tabela1[[#This Row],[nome]])</f>
        <v>Margaery Cerwyn</v>
      </c>
      <c r="C268" s="30" t="s">
        <v>422</v>
      </c>
      <c r="D268" s="3">
        <v>31</v>
      </c>
      <c r="E268" s="5">
        <v>34738</v>
      </c>
      <c r="F268" s="27" t="s">
        <v>86</v>
      </c>
      <c r="G268" s="27" t="s">
        <v>87</v>
      </c>
      <c r="H268" s="6">
        <v>22600</v>
      </c>
      <c r="I268" s="6">
        <v>58000</v>
      </c>
      <c r="J268" s="23" t="s">
        <v>38</v>
      </c>
      <c r="K268" s="3">
        <v>5</v>
      </c>
      <c r="L268" s="27" t="str">
        <f>IF(OR(J268="Sim",M268="Sim",I268/H268&gt;=2,N268/H268&gt;=5),"Alto",IF(OR(I268/H268&gt;=1,N268/H268&gt;=3,K268&gt;=30),"Médio","Baixo"))</f>
        <v>Alto</v>
      </c>
      <c r="M268" s="23" t="s">
        <v>38</v>
      </c>
      <c r="N268" s="29">
        <v>26500</v>
      </c>
    </row>
    <row r="269" spans="1:14" ht="15.75">
      <c r="A269" s="27" t="s">
        <v>19</v>
      </c>
      <c r="B269" s="27" t="str">
        <f ca="1">PROPER(Tabela1[[#This Row],[nome]])</f>
        <v>Stannis Lannister</v>
      </c>
      <c r="C269" s="30" t="s">
        <v>768</v>
      </c>
      <c r="D269" s="3">
        <v>24</v>
      </c>
      <c r="E269" s="5">
        <v>37313</v>
      </c>
      <c r="F269" s="27" t="s">
        <v>21</v>
      </c>
      <c r="G269" s="27" t="s">
        <v>22</v>
      </c>
      <c r="H269" s="6">
        <v>11000</v>
      </c>
      <c r="I269" s="6">
        <v>76500</v>
      </c>
      <c r="J269" s="23" t="s">
        <v>18</v>
      </c>
      <c r="K269" s="3">
        <v>33</v>
      </c>
      <c r="L269" s="27" t="str">
        <f>IF(OR(J269="Sim",M269="Sim",I269/H269&gt;=2,N269/H269&gt;=5),"Alto",IF(OR(I269/H269&gt;=1,N269/H269&gt;=3,K269&gt;=30),"Médio","Baixo"))</f>
        <v>Alto</v>
      </c>
      <c r="M269" s="23" t="s">
        <v>18</v>
      </c>
      <c r="N269" s="29">
        <v>26000</v>
      </c>
    </row>
    <row r="270" spans="1:14" ht="15.75">
      <c r="A270" s="27" t="s">
        <v>13</v>
      </c>
      <c r="B270" s="27" t="str">
        <f ca="1">PROPER(Tabela1[[#This Row],[nome]])</f>
        <v>Rhaegar Umber</v>
      </c>
      <c r="C270" s="30" t="s">
        <v>119</v>
      </c>
      <c r="D270" s="3">
        <v>19</v>
      </c>
      <c r="E270" s="5">
        <v>39220</v>
      </c>
      <c r="F270" s="27" t="s">
        <v>86</v>
      </c>
      <c r="G270" s="27" t="s">
        <v>87</v>
      </c>
      <c r="H270" s="6">
        <v>18000</v>
      </c>
      <c r="I270" s="6">
        <v>50500</v>
      </c>
      <c r="J270" s="23" t="s">
        <v>18</v>
      </c>
      <c r="K270" s="3">
        <v>11</v>
      </c>
      <c r="L270" s="27" t="str">
        <f>IF(OR(J270="Sim",M270="Sim",I270/H270&gt;=2,N270/H270&gt;=5),"Alto",IF(OR(I270/H270&gt;=1,N270/H270&gt;=3,K270&gt;=30),"Médio","Baixo"))</f>
        <v>Alto</v>
      </c>
      <c r="M270" s="23" t="s">
        <v>18</v>
      </c>
      <c r="N270" s="29">
        <v>26000</v>
      </c>
    </row>
    <row r="271" spans="1:14" ht="15.75">
      <c r="A271" s="27" t="s">
        <v>13</v>
      </c>
      <c r="B271" s="27" t="str">
        <f ca="1">PROPER(Tabela1[[#This Row],[nome]])</f>
        <v>Yara Royce</v>
      </c>
      <c r="C271" s="30" t="s">
        <v>768</v>
      </c>
      <c r="D271" s="3">
        <v>68</v>
      </c>
      <c r="E271" s="5">
        <v>21162</v>
      </c>
      <c r="F271" s="27" t="s">
        <v>79</v>
      </c>
      <c r="G271" s="27" t="s">
        <v>80</v>
      </c>
      <c r="H271" s="6">
        <v>11500</v>
      </c>
      <c r="I271" s="6">
        <v>17500</v>
      </c>
      <c r="J271" s="23" t="s">
        <v>38</v>
      </c>
      <c r="K271" s="3">
        <v>19</v>
      </c>
      <c r="L271" s="27" t="str">
        <f>IF(OR(J271="Sim",M271="Sim",I271/H271&gt;=2,N271/H271&gt;=5),"Alto",IF(OR(I271/H271&gt;=1,N271/H271&gt;=3,K271&gt;=30),"Médio","Baixo"))</f>
        <v>Médio</v>
      </c>
      <c r="M271" s="23" t="s">
        <v>38</v>
      </c>
      <c r="N271" s="29">
        <v>26000</v>
      </c>
    </row>
    <row r="272" spans="1:14" ht="15.75">
      <c r="A272" s="27" t="s">
        <v>13</v>
      </c>
      <c r="B272" s="27" t="str">
        <f ca="1">PROPER(Tabela1[[#This Row],[nome]])</f>
        <v>Brienne Westerling</v>
      </c>
      <c r="C272" s="30" t="s">
        <v>574</v>
      </c>
      <c r="D272" s="3">
        <v>59</v>
      </c>
      <c r="E272" s="5">
        <v>24578</v>
      </c>
      <c r="F272" s="27" t="s">
        <v>183</v>
      </c>
      <c r="G272" s="27" t="s">
        <v>397</v>
      </c>
      <c r="H272" s="6">
        <v>6600</v>
      </c>
      <c r="I272" s="6">
        <v>50000</v>
      </c>
      <c r="J272" s="23" t="s">
        <v>18</v>
      </c>
      <c r="K272" s="3">
        <v>9</v>
      </c>
      <c r="L272" s="27" t="str">
        <f>IF(OR(J272="Sim",M272="Sim",I272/H272&gt;=2,N272/H272&gt;=5),"Alto",IF(OR(I272/H272&gt;=1,N272/H272&gt;=3,K272&gt;=30),"Médio","Baixo"))</f>
        <v>Alto</v>
      </c>
      <c r="M272" s="23" t="s">
        <v>18</v>
      </c>
      <c r="N272" s="29">
        <v>25000</v>
      </c>
    </row>
    <row r="273" spans="1:14" ht="15.75">
      <c r="A273" s="27" t="s">
        <v>13</v>
      </c>
      <c r="B273" s="27" t="str">
        <f ca="1">PROPER(Tabela1[[#This Row],[nome]])</f>
        <v>Robb Reed</v>
      </c>
      <c r="C273" s="30" t="s">
        <v>726</v>
      </c>
      <c r="D273" s="3">
        <f ca="1">INT((TODAY()-E273)/365)</f>
        <v>29</v>
      </c>
      <c r="E273" s="5">
        <v>35600</v>
      </c>
      <c r="F273" s="27" t="s">
        <v>107</v>
      </c>
      <c r="G273" s="27" t="s">
        <v>77</v>
      </c>
      <c r="H273" s="6">
        <v>9600</v>
      </c>
      <c r="I273" s="6">
        <v>41000</v>
      </c>
      <c r="J273" s="23" t="s">
        <v>38</v>
      </c>
      <c r="K273" s="3">
        <v>27</v>
      </c>
      <c r="L273" s="27" t="str">
        <f>IF(OR(J273="Sim",M273="Sim",I273/H273&gt;=2,N273/H273&gt;=5),"Alto",IF(OR(I273/H273&gt;=1,N273/H273&gt;=3,K273&gt;=30),"Médio","Baixo"))</f>
        <v>Alto</v>
      </c>
      <c r="M273" s="23" t="s">
        <v>38</v>
      </c>
      <c r="N273" s="29">
        <v>25000</v>
      </c>
    </row>
    <row r="274" spans="1:14" ht="15.75">
      <c r="A274" s="27" t="s">
        <v>13</v>
      </c>
      <c r="B274" s="27" t="str">
        <f ca="1">PROPER(Tabela1[[#This Row],[nome]])</f>
        <v>Melisandre  Baelish</v>
      </c>
      <c r="C274" s="30" t="s">
        <v>334</v>
      </c>
      <c r="D274" s="3">
        <v>69</v>
      </c>
      <c r="E274" s="5">
        <v>21051</v>
      </c>
      <c r="F274" s="27" t="s">
        <v>21</v>
      </c>
      <c r="G274" s="27" t="s">
        <v>22</v>
      </c>
      <c r="H274" s="6">
        <v>25100</v>
      </c>
      <c r="I274" s="6">
        <v>40500</v>
      </c>
      <c r="J274" s="23" t="s">
        <v>38</v>
      </c>
      <c r="K274" s="3">
        <v>43</v>
      </c>
      <c r="L274" s="27" t="str">
        <f>IF(OR(J274="Sim",M274="Sim",I274/H274&gt;=2,N274/H274&gt;=5),"Alto",IF(OR(I274/H274&gt;=1,N274/H274&gt;=3,K274&gt;=30),"Médio","Baixo"))</f>
        <v>Médio</v>
      </c>
      <c r="M274" s="23" t="s">
        <v>38</v>
      </c>
      <c r="N274" s="29">
        <v>24500</v>
      </c>
    </row>
    <row r="275" spans="1:14" ht="15.75">
      <c r="A275" s="27" t="s">
        <v>13</v>
      </c>
      <c r="B275" s="27" t="str">
        <f ca="1">PROPER(Tabela1[[#This Row],[nome]])</f>
        <v>Eddard Royce</v>
      </c>
      <c r="C275" s="30" t="s">
        <v>353</v>
      </c>
      <c r="D275" s="3">
        <v>73</v>
      </c>
      <c r="E275" s="5">
        <v>19314</v>
      </c>
      <c r="F275" s="27" t="s">
        <v>26</v>
      </c>
      <c r="G275" s="27" t="s">
        <v>27</v>
      </c>
      <c r="H275" s="6">
        <v>6100</v>
      </c>
      <c r="I275" s="6">
        <v>16000</v>
      </c>
      <c r="J275" s="23" t="s">
        <v>38</v>
      </c>
      <c r="K275" s="3">
        <v>9</v>
      </c>
      <c r="L275" s="27" t="str">
        <f>IF(OR(J275="Sim",M275="Sim",I275/H275&gt;=2,N275/H275&gt;=5),"Alto",IF(OR(I275/H275&gt;=1,N275/H275&gt;=3,K275&gt;=30),"Médio","Baixo"))</f>
        <v>Alto</v>
      </c>
      <c r="M275" s="23" t="s">
        <v>38</v>
      </c>
      <c r="N275" s="29">
        <v>24500</v>
      </c>
    </row>
    <row r="276" spans="1:14" ht="15.75">
      <c r="A276" s="27" t="s">
        <v>13</v>
      </c>
      <c r="B276" s="27" t="str">
        <f ca="1">PROPER(Tabela1[[#This Row],[nome]])</f>
        <v>Varys Lannister</v>
      </c>
      <c r="C276" s="30" t="s">
        <v>703</v>
      </c>
      <c r="D276" s="3">
        <v>67</v>
      </c>
      <c r="E276" s="5">
        <v>21497</v>
      </c>
      <c r="F276" s="27" t="s">
        <v>50</v>
      </c>
      <c r="G276" s="27" t="s">
        <v>70</v>
      </c>
      <c r="H276" s="6">
        <v>21600</v>
      </c>
      <c r="I276" s="6">
        <v>73500</v>
      </c>
      <c r="J276" s="23" t="s">
        <v>18</v>
      </c>
      <c r="K276" s="3">
        <v>7</v>
      </c>
      <c r="L276" s="27" t="str">
        <f>IF(OR(J276="Sim",M276="Sim",I276/H276&gt;=2,N276/H276&gt;=5),"Alto",IF(OR(I276/H276&gt;=1,N276/H276&gt;=3,K276&gt;=30),"Médio","Baixo"))</f>
        <v>Alto</v>
      </c>
      <c r="M276" s="23" t="s">
        <v>18</v>
      </c>
      <c r="N276" s="29">
        <v>24500</v>
      </c>
    </row>
    <row r="277" spans="1:14" ht="15.75">
      <c r="A277" s="27" t="s">
        <v>19</v>
      </c>
      <c r="B277" s="27" t="str">
        <f ca="1">PROPER(Tabela1[[#This Row],[nome]])</f>
        <v>Shae Tarly</v>
      </c>
      <c r="C277" s="30" t="s">
        <v>523</v>
      </c>
      <c r="D277" s="3">
        <v>33</v>
      </c>
      <c r="E277" s="5">
        <v>33902</v>
      </c>
      <c r="F277" s="27" t="s">
        <v>111</v>
      </c>
      <c r="G277" s="27" t="s">
        <v>87</v>
      </c>
      <c r="H277" s="6">
        <v>12500</v>
      </c>
      <c r="I277" s="6">
        <v>51500</v>
      </c>
      <c r="J277" s="23" t="s">
        <v>18</v>
      </c>
      <c r="K277" s="3">
        <v>44</v>
      </c>
      <c r="L277" s="27" t="str">
        <f>IF(OR(J277="Sim",M277="Sim",I277/H277&gt;=2,N277/H277&gt;=5),"Alto",IF(OR(I277/H277&gt;=1,N277/H277&gt;=3,K277&gt;=30),"Médio","Baixo"))</f>
        <v>Alto</v>
      </c>
      <c r="M277" s="23" t="s">
        <v>18</v>
      </c>
      <c r="N277" s="29">
        <v>24000</v>
      </c>
    </row>
    <row r="278" spans="1:14" ht="15.75">
      <c r="A278" s="27" t="s">
        <v>13</v>
      </c>
      <c r="B278" s="27" t="str">
        <f ca="1">PROPER(Tabela1[[#This Row],[nome]])</f>
        <v>Shae Clegane</v>
      </c>
      <c r="C278" s="30" t="s">
        <v>134</v>
      </c>
      <c r="D278" s="3">
        <v>40</v>
      </c>
      <c r="E278" s="5">
        <v>31539</v>
      </c>
      <c r="F278" s="27" t="s">
        <v>100</v>
      </c>
      <c r="G278" s="27" t="s">
        <v>80</v>
      </c>
      <c r="H278" s="6">
        <v>9900</v>
      </c>
      <c r="I278" s="6">
        <v>3500</v>
      </c>
      <c r="J278" s="23" t="s">
        <v>38</v>
      </c>
      <c r="K278" s="3">
        <v>1</v>
      </c>
      <c r="L278" s="27" t="str">
        <f>IF(OR(J278="Sim",M278="Sim",I278/H278&gt;=2,N278/H278&gt;=5),"Alto",IF(OR(I278/H278&gt;=1,N278/H278&gt;=3,K278&gt;=30),"Médio","Baixo"))</f>
        <v>Baixo</v>
      </c>
      <c r="M278" s="23" t="s">
        <v>38</v>
      </c>
      <c r="N278" s="29">
        <v>23500</v>
      </c>
    </row>
    <row r="279" spans="1:14" ht="15.75">
      <c r="A279" s="27" t="s">
        <v>13</v>
      </c>
      <c r="B279" s="27" t="str">
        <f ca="1">PROPER(Tabela1[[#This Row],[nome]])</f>
        <v>Eddard Mallister</v>
      </c>
      <c r="C279" s="30" t="s">
        <v>187</v>
      </c>
      <c r="D279" s="3">
        <v>47</v>
      </c>
      <c r="E279" s="5">
        <v>28802</v>
      </c>
      <c r="F279" s="27" t="s">
        <v>183</v>
      </c>
      <c r="G279" s="27" t="s">
        <v>397</v>
      </c>
      <c r="H279" s="6">
        <v>22700</v>
      </c>
      <c r="I279" s="6">
        <v>8500</v>
      </c>
      <c r="J279" s="23" t="s">
        <v>768</v>
      </c>
      <c r="K279" s="3">
        <v>35</v>
      </c>
      <c r="L279" s="27" t="str">
        <f>IF(OR(J279="Sim",M279="Sim",I279/H279&gt;=2,N279/H279&gt;=5),"Alto",IF(OR(I279/H279&gt;=1,N279/H279&gt;=3,K279&gt;=30),"Médio","Baixo"))</f>
        <v>Médio</v>
      </c>
      <c r="M279" s="23" t="s">
        <v>768</v>
      </c>
      <c r="N279" s="29">
        <v>23500</v>
      </c>
    </row>
    <row r="280" spans="1:14" ht="15.75">
      <c r="A280" s="27" t="s">
        <v>13</v>
      </c>
      <c r="B280" s="27" t="str">
        <f ca="1">PROPER(Tabela1[[#This Row],[nome]])</f>
        <v>Daenerys Tallhart</v>
      </c>
      <c r="C280" s="30" t="s">
        <v>231</v>
      </c>
      <c r="D280" s="3">
        <v>37</v>
      </c>
      <c r="E280" s="5">
        <v>32543</v>
      </c>
      <c r="F280" s="27" t="s">
        <v>86</v>
      </c>
      <c r="G280" s="27" t="s">
        <v>87</v>
      </c>
      <c r="H280" s="6">
        <v>29200</v>
      </c>
      <c r="I280" s="6">
        <v>45000</v>
      </c>
      <c r="J280" s="23" t="s">
        <v>38</v>
      </c>
      <c r="K280" s="3">
        <v>26</v>
      </c>
      <c r="L280" s="27" t="str">
        <f>IF(OR(J280="Sim",M280="Sim",I280/H280&gt;=2,N280/H280&gt;=5),"Alto",IF(OR(I280/H280&gt;=1,N280/H280&gt;=3,K280&gt;=30),"Médio","Baixo"))</f>
        <v>Médio</v>
      </c>
      <c r="M280" s="23" t="s">
        <v>38</v>
      </c>
      <c r="N280" s="29">
        <v>23500</v>
      </c>
    </row>
    <row r="281" spans="1:14" ht="15.75">
      <c r="A281" s="27" t="s">
        <v>19</v>
      </c>
      <c r="B281" s="27" t="str">
        <f ca="1">PROPER(Tabela1[[#This Row],[nome]])</f>
        <v>Davos Tyrell</v>
      </c>
      <c r="C281" s="30" t="s">
        <v>718</v>
      </c>
      <c r="D281" s="3">
        <v>65</v>
      </c>
      <c r="E281" s="5">
        <v>22275</v>
      </c>
      <c r="F281" s="27" t="s">
        <v>16</v>
      </c>
      <c r="G281" s="27" t="s">
        <v>17</v>
      </c>
      <c r="H281" s="6">
        <v>3300</v>
      </c>
      <c r="I281" s="6">
        <v>43500</v>
      </c>
      <c r="J281" s="23" t="s">
        <v>38</v>
      </c>
      <c r="K281" s="3">
        <v>27</v>
      </c>
      <c r="L281" s="27" t="str">
        <f>IF(OR(J281="Sim",M281="Sim",I281/H281&gt;=2,N281/H281&gt;=5),"Alto",IF(OR(I281/H281&gt;=1,N281/H281&gt;=3,K281&gt;=30),"Médio","Baixo"))</f>
        <v>Alto</v>
      </c>
      <c r="M281" s="23" t="s">
        <v>38</v>
      </c>
      <c r="N281" s="29">
        <v>23500</v>
      </c>
    </row>
    <row r="282" spans="1:14" ht="15.75">
      <c r="A282" s="27" t="s">
        <v>13</v>
      </c>
      <c r="B282" s="27" t="str">
        <f ca="1">PROPER(Tabela1[[#This Row],[nome]])</f>
        <v>Lyanna Swyft</v>
      </c>
      <c r="C282" s="30" t="s">
        <v>768</v>
      </c>
      <c r="D282" s="3">
        <v>29</v>
      </c>
      <c r="E282" s="5">
        <v>35344</v>
      </c>
      <c r="F282" s="27" t="s">
        <v>16</v>
      </c>
      <c r="G282" s="27" t="s">
        <v>17</v>
      </c>
      <c r="H282" s="6">
        <v>19900</v>
      </c>
      <c r="I282" s="6">
        <v>49500</v>
      </c>
      <c r="J282" s="23" t="s">
        <v>18</v>
      </c>
      <c r="K282" s="3">
        <v>27</v>
      </c>
      <c r="L282" s="27" t="str">
        <f>IF(OR(J282="Sim",M282="Sim",I282/H282&gt;=2,N282/H282&gt;=5),"Alto",IF(OR(I282/H282&gt;=1,N282/H282&gt;=3,K282&gt;=30),"Médio","Baixo"))</f>
        <v>Alto</v>
      </c>
      <c r="M282" s="23" t="s">
        <v>18</v>
      </c>
      <c r="N282" s="29">
        <v>23000</v>
      </c>
    </row>
    <row r="283" spans="1:14" ht="15.75">
      <c r="A283" s="27" t="s">
        <v>19</v>
      </c>
      <c r="B283" s="27" t="str">
        <f ca="1">PROPER(Tabela1[[#This Row],[nome]])</f>
        <v>Thoros Hornwood</v>
      </c>
      <c r="C283" s="30" t="s">
        <v>444</v>
      </c>
      <c r="D283" s="3">
        <v>65</v>
      </c>
      <c r="E283" s="5">
        <v>22205</v>
      </c>
      <c r="F283" s="27" t="s">
        <v>79</v>
      </c>
      <c r="G283" s="27" t="s">
        <v>80</v>
      </c>
      <c r="H283" s="6">
        <v>19800</v>
      </c>
      <c r="I283" s="6">
        <v>78500</v>
      </c>
      <c r="J283" s="23" t="s">
        <v>38</v>
      </c>
      <c r="K283" s="3">
        <v>34</v>
      </c>
      <c r="L283" s="27" t="str">
        <f>IF(OR(J283="Sim",M283="Sim",I283/H283&gt;=2,N283/H283&gt;=5),"Alto",IF(OR(I283/H283&gt;=1,N283/H283&gt;=3,K283&gt;=30),"Médio","Baixo"))</f>
        <v>Alto</v>
      </c>
      <c r="M283" s="23" t="s">
        <v>38</v>
      </c>
      <c r="N283" s="29">
        <v>23000</v>
      </c>
    </row>
    <row r="284" spans="1:14" ht="15.75">
      <c r="A284" s="27" t="s">
        <v>19</v>
      </c>
      <c r="B284" s="27" t="str">
        <f ca="1">PROPER(Tabela1[[#This Row],[nome]])</f>
        <v>Petyr Karstark</v>
      </c>
      <c r="C284" s="30" t="s">
        <v>768</v>
      </c>
      <c r="D284" s="3">
        <f ca="1">INT((TODAY()-E284)/365)</f>
        <v>74</v>
      </c>
      <c r="E284" s="5">
        <v>19234</v>
      </c>
      <c r="F284" s="27" t="s">
        <v>111</v>
      </c>
      <c r="G284" s="27" t="s">
        <v>87</v>
      </c>
      <c r="H284" s="6">
        <v>8900</v>
      </c>
      <c r="I284" s="6">
        <v>4000</v>
      </c>
      <c r="J284" s="23" t="s">
        <v>38</v>
      </c>
      <c r="K284" s="3">
        <v>38</v>
      </c>
      <c r="L284" s="27" t="str">
        <f>IF(OR(J284="Sim",M284="Sim",I284/H284&gt;=2,N284/H284&gt;=5),"Alto",IF(OR(I284/H284&gt;=1,N284/H284&gt;=3,K284&gt;=30),"Médio","Baixo"))</f>
        <v>Médio</v>
      </c>
      <c r="M284" s="23" t="s">
        <v>38</v>
      </c>
      <c r="N284" s="29">
        <v>22500</v>
      </c>
    </row>
    <row r="285" spans="1:14" ht="15.75">
      <c r="A285" s="27" t="s">
        <v>13</v>
      </c>
      <c r="B285" s="27" t="str">
        <f ca="1">PROPER(Tabela1[[#This Row],[nome]])</f>
        <v>Jon Cerwyn</v>
      </c>
      <c r="C285" s="30" t="s">
        <v>594</v>
      </c>
      <c r="D285" s="3">
        <v>65</v>
      </c>
      <c r="E285" s="5">
        <v>22314</v>
      </c>
      <c r="F285" s="27" t="s">
        <v>21</v>
      </c>
      <c r="G285" s="27" t="s">
        <v>22</v>
      </c>
      <c r="H285" s="6">
        <v>6100</v>
      </c>
      <c r="I285" s="6">
        <v>40000</v>
      </c>
      <c r="J285" s="23" t="s">
        <v>38</v>
      </c>
      <c r="K285" s="3">
        <v>13</v>
      </c>
      <c r="L285" s="27" t="str">
        <f>IF(OR(J285="Sim",M285="Sim",I285/H285&gt;=2,N285/H285&gt;=5),"Alto",IF(OR(I285/H285&gt;=1,N285/H285&gt;=3,K285&gt;=30),"Médio","Baixo"))</f>
        <v>Alto</v>
      </c>
      <c r="M285" s="23" t="s">
        <v>38</v>
      </c>
      <c r="N285" s="29">
        <v>22500</v>
      </c>
    </row>
    <row r="286" spans="1:14" ht="15.75">
      <c r="A286" s="27" t="s">
        <v>13</v>
      </c>
      <c r="B286" s="27" t="str">
        <f ca="1">PROPER(Tabela1[[#This Row],[nome]])</f>
        <v>Tyrion Karstark</v>
      </c>
      <c r="C286" s="30" t="s">
        <v>768</v>
      </c>
      <c r="D286" s="3">
        <v>41</v>
      </c>
      <c r="E286" s="5">
        <v>30992</v>
      </c>
      <c r="F286" s="27" t="s">
        <v>41</v>
      </c>
      <c r="G286" s="27" t="s">
        <v>46</v>
      </c>
      <c r="H286" s="6">
        <v>28600</v>
      </c>
      <c r="I286" s="6">
        <v>67500</v>
      </c>
      <c r="J286" s="23" t="s">
        <v>38</v>
      </c>
      <c r="K286" s="3">
        <v>39</v>
      </c>
      <c r="L286" s="27" t="str">
        <f>IF(OR(J286="Sim",M286="Sim",I286/H286&gt;=2,N286/H286&gt;=5),"Alto",IF(OR(I286/H286&gt;=1,N286/H286&gt;=3,K286&gt;=30),"Médio","Baixo"))</f>
        <v>Alto</v>
      </c>
      <c r="M286" s="23" t="s">
        <v>38</v>
      </c>
      <c r="N286" s="29">
        <v>22000</v>
      </c>
    </row>
    <row r="287" spans="1:14" ht="15.75">
      <c r="A287" s="27" t="s">
        <v>19</v>
      </c>
      <c r="B287" s="27" t="str">
        <f ca="1">PROPER(Tabela1[[#This Row],[nome]])</f>
        <v>Cersei Tarth</v>
      </c>
      <c r="C287" s="30" t="s">
        <v>768</v>
      </c>
      <c r="D287" s="3">
        <v>46</v>
      </c>
      <c r="E287" s="5">
        <v>29427</v>
      </c>
      <c r="F287" s="27" t="s">
        <v>107</v>
      </c>
      <c r="G287" s="27" t="s">
        <v>77</v>
      </c>
      <c r="H287" s="8" t="s">
        <v>768</v>
      </c>
      <c r="I287" s="6">
        <v>37500</v>
      </c>
      <c r="J287" s="23" t="s">
        <v>38</v>
      </c>
      <c r="K287" s="3" t="s">
        <v>768</v>
      </c>
      <c r="L287" s="27" t="s">
        <v>771</v>
      </c>
      <c r="M287" s="23" t="s">
        <v>38</v>
      </c>
      <c r="N287" s="29">
        <v>21500</v>
      </c>
    </row>
    <row r="288" spans="1:14" ht="15.75">
      <c r="A288" s="27" t="s">
        <v>13</v>
      </c>
      <c r="B288" s="27" t="str">
        <f ca="1">PROPER(Tabela1[[#This Row],[nome]])</f>
        <v>Shae Mormont</v>
      </c>
      <c r="C288" s="30" t="s">
        <v>512</v>
      </c>
      <c r="D288" s="3">
        <v>72</v>
      </c>
      <c r="E288" s="5">
        <v>19623</v>
      </c>
      <c r="F288" s="27" t="s">
        <v>41</v>
      </c>
      <c r="G288" s="27" t="s">
        <v>46</v>
      </c>
      <c r="H288" s="6">
        <v>12600</v>
      </c>
      <c r="I288" s="6">
        <v>5500</v>
      </c>
      <c r="J288" s="23" t="s">
        <v>38</v>
      </c>
      <c r="K288" s="3">
        <v>35</v>
      </c>
      <c r="L288" s="27" t="str">
        <f>IF(OR(J288="Sim",M288="Sim",I288/H288&gt;=2,N288/H288&gt;=5),"Alto",IF(OR(I288/H288&gt;=1,N288/H288&gt;=3,K288&gt;=30),"Médio","Baixo"))</f>
        <v>Médio</v>
      </c>
      <c r="M288" s="23" t="s">
        <v>38</v>
      </c>
      <c r="N288" s="29">
        <v>21000</v>
      </c>
    </row>
    <row r="289" spans="1:14" ht="15.75">
      <c r="A289" s="27" t="s">
        <v>19</v>
      </c>
      <c r="B289" s="27" t="str">
        <f ca="1">PROPER(Tabela1[[#This Row],[nome]])</f>
        <v>Missandei Glover</v>
      </c>
      <c r="C289" s="30" t="s">
        <v>768</v>
      </c>
      <c r="D289" s="3">
        <v>38</v>
      </c>
      <c r="E289" s="5">
        <v>32118</v>
      </c>
      <c r="F289" s="27" t="s">
        <v>21</v>
      </c>
      <c r="G289" s="27" t="s">
        <v>22</v>
      </c>
      <c r="H289" s="6">
        <v>15800</v>
      </c>
      <c r="I289" s="6">
        <v>14500</v>
      </c>
      <c r="J289" s="23" t="s">
        <v>38</v>
      </c>
      <c r="K289" s="3">
        <v>4</v>
      </c>
      <c r="L289" s="27" t="str">
        <f>IF(OR(J289="Sim",M289="Sim",I289/H289&gt;=2,N289/H289&gt;=5),"Alto",IF(OR(I289/H289&gt;=1,N289/H289&gt;=3,K289&gt;=30),"Médio","Baixo"))</f>
        <v>Baixo</v>
      </c>
      <c r="M289" s="23" t="s">
        <v>38</v>
      </c>
      <c r="N289" s="29">
        <v>21000</v>
      </c>
    </row>
    <row r="290" spans="1:14" ht="15.75">
      <c r="A290" s="27" t="s">
        <v>13</v>
      </c>
      <c r="B290" s="27" t="str">
        <f ca="1">PROPER(Tabela1[[#This Row],[nome]])</f>
        <v>Bran Umber</v>
      </c>
      <c r="C290" s="30" t="s">
        <v>768</v>
      </c>
      <c r="D290" s="3">
        <v>29</v>
      </c>
      <c r="E290" s="5">
        <v>35334</v>
      </c>
      <c r="F290" s="27" t="s">
        <v>50</v>
      </c>
      <c r="G290" s="27" t="s">
        <v>70</v>
      </c>
      <c r="H290" s="6">
        <v>19500</v>
      </c>
      <c r="I290" s="6">
        <v>57000</v>
      </c>
      <c r="J290" s="23" t="s">
        <v>38</v>
      </c>
      <c r="K290" s="3">
        <v>12</v>
      </c>
      <c r="L290" s="27" t="str">
        <f>IF(OR(J290="Sim",M290="Sim",I290/H290&gt;=2,N290/H290&gt;=5),"Alto",IF(OR(I290/H290&gt;=1,N290/H290&gt;=3,K290&gt;=30),"Médio","Baixo"))</f>
        <v>Alto</v>
      </c>
      <c r="M290" s="23" t="s">
        <v>38</v>
      </c>
      <c r="N290" s="29">
        <v>20500</v>
      </c>
    </row>
    <row r="291" spans="1:14" ht="15.75">
      <c r="A291" s="27" t="s">
        <v>19</v>
      </c>
      <c r="B291" s="27" t="str">
        <f ca="1">PROPER(Tabela1[[#This Row],[nome]])</f>
        <v>Lyanna Tarth</v>
      </c>
      <c r="C291" s="30" t="s">
        <v>700</v>
      </c>
      <c r="D291" s="3">
        <v>73</v>
      </c>
      <c r="E291" s="5"/>
      <c r="F291" s="27" t="s">
        <v>79</v>
      </c>
      <c r="G291" s="27" t="s">
        <v>80</v>
      </c>
      <c r="H291" s="6">
        <v>19900</v>
      </c>
      <c r="I291" s="6">
        <v>47000</v>
      </c>
      <c r="J291" s="23" t="s">
        <v>38</v>
      </c>
      <c r="K291" s="3">
        <v>19</v>
      </c>
      <c r="L291" s="27" t="str">
        <f>IF(OR(J291="Sim",M291="Sim",I291/H291&gt;=2,N291/H291&gt;=5),"Alto",IF(OR(I291/H291&gt;=1,N291/H291&gt;=3,K291&gt;=30),"Médio","Baixo"))</f>
        <v>Alto</v>
      </c>
      <c r="M291" s="23" t="s">
        <v>38</v>
      </c>
      <c r="N291" s="29">
        <v>20500</v>
      </c>
    </row>
    <row r="292" spans="1:14" ht="15.75">
      <c r="A292" s="27" t="s">
        <v>19</v>
      </c>
      <c r="B292" s="27" t="str">
        <f ca="1">PROPER(Tabela1[[#This Row],[nome]])</f>
        <v>Daario Arryn</v>
      </c>
      <c r="C292" s="30" t="s">
        <v>389</v>
      </c>
      <c r="D292" s="3">
        <v>63</v>
      </c>
      <c r="E292" s="5">
        <v>23119</v>
      </c>
      <c r="F292" s="27" t="s">
        <v>16</v>
      </c>
      <c r="G292" s="27" t="s">
        <v>17</v>
      </c>
      <c r="H292" s="6">
        <v>9300</v>
      </c>
      <c r="I292" s="6">
        <v>48500</v>
      </c>
      <c r="J292" s="23" t="s">
        <v>38</v>
      </c>
      <c r="K292" s="3">
        <v>28</v>
      </c>
      <c r="L292" s="27" t="str">
        <f>IF(OR(J292="Sim",M292="Sim",I292/H292&gt;=2,N292/H292&gt;=5),"Alto",IF(OR(I292/H292&gt;=1,N292/H292&gt;=3,K292&gt;=30),"Médio","Baixo"))</f>
        <v>Alto</v>
      </c>
      <c r="M292" s="23" t="s">
        <v>38</v>
      </c>
      <c r="N292" s="29">
        <v>20000</v>
      </c>
    </row>
    <row r="293" spans="1:14" ht="15.75">
      <c r="A293" s="27" t="s">
        <v>19</v>
      </c>
      <c r="B293" s="27" t="str">
        <f ca="1">PROPER(Tabela1[[#This Row],[nome]])</f>
        <v>Renly Bolton</v>
      </c>
      <c r="C293" s="30" t="s">
        <v>768</v>
      </c>
      <c r="D293" s="3">
        <v>55</v>
      </c>
      <c r="E293" s="5">
        <v>26075</v>
      </c>
      <c r="F293" s="27" t="s">
        <v>16</v>
      </c>
      <c r="G293" s="27" t="s">
        <v>17</v>
      </c>
      <c r="H293" s="6">
        <v>21100</v>
      </c>
      <c r="I293" s="6">
        <v>67500</v>
      </c>
      <c r="J293" s="23" t="s">
        <v>38</v>
      </c>
      <c r="K293" s="3">
        <v>15</v>
      </c>
      <c r="L293" s="27" t="str">
        <f>IF(OR(J293="Sim",M293="Sim",I293/H293&gt;=2,N293/H293&gt;=5),"Alto",IF(OR(I293/H293&gt;=1,N293/H293&gt;=3,K293&gt;=30),"Médio","Baixo"))</f>
        <v>Alto</v>
      </c>
      <c r="M293" s="23" t="s">
        <v>38</v>
      </c>
      <c r="N293" s="29">
        <v>20000</v>
      </c>
    </row>
    <row r="294" spans="1:14" ht="15.75">
      <c r="A294" s="27" t="s">
        <v>19</v>
      </c>
      <c r="B294" s="27" t="str">
        <f ca="1">PROPER(Tabela1[[#This Row],[nome]])</f>
        <v>Yara Tallhart</v>
      </c>
      <c r="C294" s="30" t="s">
        <v>768</v>
      </c>
      <c r="D294" s="3">
        <v>57</v>
      </c>
      <c r="E294" s="5">
        <v>25206</v>
      </c>
      <c r="F294" s="27" t="s">
        <v>76</v>
      </c>
      <c r="G294" s="27" t="s">
        <v>77</v>
      </c>
      <c r="H294" s="6">
        <v>3400</v>
      </c>
      <c r="I294" s="8">
        <v>0</v>
      </c>
      <c r="J294" s="23" t="s">
        <v>38</v>
      </c>
      <c r="K294" s="3">
        <v>20</v>
      </c>
      <c r="L294" s="27" t="str">
        <f>IF(OR(J294="Sim",M294="Sim",I294/H294&gt;=2,N294/H294&gt;=5),"Alto",IF(OR(I294/H294&gt;=1,N294/H294&gt;=3,K294&gt;=30),"Médio","Baixo"))</f>
        <v>Alto</v>
      </c>
      <c r="M294" s="23" t="s">
        <v>38</v>
      </c>
      <c r="N294" s="29">
        <v>19500</v>
      </c>
    </row>
    <row r="295" spans="1:14" ht="15.75">
      <c r="A295" s="27" t="s">
        <v>13</v>
      </c>
      <c r="B295" s="27" t="str">
        <f ca="1">PROPER(Tabela1[[#This Row],[nome]])</f>
        <v>Missandei Glover</v>
      </c>
      <c r="C295" s="30" t="s">
        <v>768</v>
      </c>
      <c r="D295" s="3">
        <v>62</v>
      </c>
      <c r="E295" s="5">
        <v>23278</v>
      </c>
      <c r="F295" s="27" t="s">
        <v>79</v>
      </c>
      <c r="G295" s="27" t="s">
        <v>80</v>
      </c>
      <c r="H295" s="6">
        <v>17000</v>
      </c>
      <c r="I295" s="6">
        <v>64000</v>
      </c>
      <c r="J295" s="23" t="s">
        <v>18</v>
      </c>
      <c r="K295" s="3">
        <v>21</v>
      </c>
      <c r="L295" s="27" t="str">
        <f>IF(OR(J295="Sim",M295="Sim",I295/H295&gt;=2,N295/H295&gt;=5),"Alto",IF(OR(I295/H295&gt;=1,N295/H295&gt;=3,K295&gt;=30),"Médio","Baixo"))</f>
        <v>Alto</v>
      </c>
      <c r="M295" s="23" t="s">
        <v>18</v>
      </c>
      <c r="N295" s="29">
        <v>19000</v>
      </c>
    </row>
    <row r="296" spans="1:14" ht="15.75">
      <c r="A296" s="27" t="s">
        <v>13</v>
      </c>
      <c r="B296" s="27" t="str">
        <f ca="1">PROPER(Tabela1[[#This Row],[nome]])</f>
        <v>Roose Dondarrion</v>
      </c>
      <c r="C296" s="30" t="s">
        <v>554</v>
      </c>
      <c r="D296" s="3">
        <v>53</v>
      </c>
      <c r="E296" s="5">
        <v>26620</v>
      </c>
      <c r="F296" s="27" t="s">
        <v>16</v>
      </c>
      <c r="G296" s="27" t="s">
        <v>17</v>
      </c>
      <c r="H296" s="6">
        <v>21300</v>
      </c>
      <c r="I296" s="6">
        <v>79500</v>
      </c>
      <c r="J296" s="23" t="s">
        <v>38</v>
      </c>
      <c r="K296" s="3">
        <v>18</v>
      </c>
      <c r="L296" s="27" t="str">
        <f>IF(OR(J296="Sim",M296="Sim",I296/H296&gt;=2,N296/H296&gt;=5),"Alto",IF(OR(I296/H296&gt;=1,N296/H296&gt;=3,K296&gt;=30),"Médio","Baixo"))</f>
        <v>Alto</v>
      </c>
      <c r="M296" s="23" t="s">
        <v>38</v>
      </c>
      <c r="N296" s="29">
        <v>19000</v>
      </c>
    </row>
    <row r="297" spans="1:14" ht="15.75">
      <c r="A297" s="27" t="s">
        <v>13</v>
      </c>
      <c r="B297" s="27" t="str">
        <f ca="1">PROPER(Tabela1[[#This Row],[nome]])</f>
        <v>Melisandre Targaryen</v>
      </c>
      <c r="C297" s="30" t="s">
        <v>303</v>
      </c>
      <c r="D297" s="3">
        <v>31</v>
      </c>
      <c r="E297" s="5">
        <v>34852</v>
      </c>
      <c r="F297" s="27" t="s">
        <v>100</v>
      </c>
      <c r="G297" s="27" t="s">
        <v>80</v>
      </c>
      <c r="H297" s="6">
        <v>20500</v>
      </c>
      <c r="I297" s="6">
        <v>47500</v>
      </c>
      <c r="J297" s="23" t="s">
        <v>38</v>
      </c>
      <c r="K297" s="3">
        <v>11</v>
      </c>
      <c r="L297" s="27" t="str">
        <f>IF(OR(J297="Sim",M297="Sim",I297/H297&gt;=2,N297/H297&gt;=5),"Alto",IF(OR(I297/H297&gt;=1,N297/H297&gt;=3,K297&gt;=30),"Médio","Baixo"))</f>
        <v>Alto</v>
      </c>
      <c r="M297" s="23" t="s">
        <v>38</v>
      </c>
      <c r="N297" s="29">
        <v>18500</v>
      </c>
    </row>
    <row r="298" spans="1:14" ht="15.75">
      <c r="A298" s="27" t="s">
        <v>13</v>
      </c>
      <c r="B298" s="27" t="str">
        <f ca="1">PROPER(Tabela1[[#This Row],[nome]])</f>
        <v>Shae Frey</v>
      </c>
      <c r="C298" s="30" t="s">
        <v>768</v>
      </c>
      <c r="D298" s="3">
        <v>26</v>
      </c>
      <c r="E298" s="5">
        <v>36518</v>
      </c>
      <c r="F298" s="27" t="s">
        <v>92</v>
      </c>
      <c r="G298" s="27" t="s">
        <v>80</v>
      </c>
      <c r="H298" s="6">
        <v>5000</v>
      </c>
      <c r="I298" s="6">
        <v>61500</v>
      </c>
      <c r="J298" s="23" t="s">
        <v>38</v>
      </c>
      <c r="K298" s="3">
        <v>35</v>
      </c>
      <c r="L298" s="27" t="str">
        <f>IF(OR(J298="Sim",M298="Sim",I298/H298&gt;=2,N298/H298&gt;=5),"Alto",IF(OR(I298/H298&gt;=1,N298/H298&gt;=3,K298&gt;=30),"Médio","Baixo"))</f>
        <v>Alto</v>
      </c>
      <c r="M298" s="23" t="s">
        <v>38</v>
      </c>
      <c r="N298" s="29">
        <v>18500</v>
      </c>
    </row>
    <row r="299" spans="1:14" ht="15.75">
      <c r="A299" s="27" t="s">
        <v>13</v>
      </c>
      <c r="B299" s="27" t="str">
        <f ca="1">PROPER(Tabela1[[#This Row],[nome]])</f>
        <v>Jorah Marbrand</v>
      </c>
      <c r="C299" s="30" t="s">
        <v>467</v>
      </c>
      <c r="D299" s="3">
        <v>37</v>
      </c>
      <c r="E299" s="5">
        <v>32414</v>
      </c>
      <c r="F299" s="27" t="s">
        <v>26</v>
      </c>
      <c r="G299" s="26" t="s">
        <v>27</v>
      </c>
      <c r="H299" s="6">
        <v>12800</v>
      </c>
      <c r="I299" s="6">
        <v>76500</v>
      </c>
      <c r="J299" s="23" t="s">
        <v>38</v>
      </c>
      <c r="K299" s="3">
        <v>30</v>
      </c>
      <c r="L299" s="27" t="str">
        <f>IF(OR(J299="Sim",M299="Sim",I299/H299&gt;=2,N299/H299&gt;=5),"Alto",IF(OR(I299/H299&gt;=1,N299/H299&gt;=3,K299&gt;=30),"Médio","Baixo"))</f>
        <v>Alto</v>
      </c>
      <c r="M299" s="23" t="s">
        <v>38</v>
      </c>
      <c r="N299" s="29">
        <v>18500</v>
      </c>
    </row>
    <row r="300" spans="1:14" ht="15.75">
      <c r="A300" s="27" t="s">
        <v>13</v>
      </c>
      <c r="B300" s="27" t="str">
        <f ca="1">PROPER(Tabela1[[#This Row],[nome]])</f>
        <v>Loras Greyjoy</v>
      </c>
      <c r="C300" s="30" t="s">
        <v>99</v>
      </c>
      <c r="D300" s="3">
        <v>68</v>
      </c>
      <c r="E300" s="5">
        <v>21145</v>
      </c>
      <c r="F300" s="27" t="s">
        <v>100</v>
      </c>
      <c r="G300" s="27" t="s">
        <v>80</v>
      </c>
      <c r="H300" s="6">
        <v>29000</v>
      </c>
      <c r="I300" s="6">
        <v>67500</v>
      </c>
      <c r="J300" s="23" t="s">
        <v>38</v>
      </c>
      <c r="K300" s="3">
        <v>25</v>
      </c>
      <c r="L300" s="27" t="str">
        <f>IF(OR(J300="Sim",M300="Sim",I300/H300&gt;=2,N300/H300&gt;=5),"Alto",IF(OR(I300/H300&gt;=1,N300/H300&gt;=3,K300&gt;=30),"Médio","Baixo"))</f>
        <v>Alto</v>
      </c>
      <c r="M300" s="23" t="s">
        <v>38</v>
      </c>
      <c r="N300" s="29">
        <v>18000</v>
      </c>
    </row>
    <row r="301" spans="1:14" ht="15.75">
      <c r="A301" s="27" t="s">
        <v>13</v>
      </c>
      <c r="B301" s="27" t="str">
        <f ca="1">PROPER(Tabela1[[#This Row],[nome]])</f>
        <v>Rhaegar Targaryen</v>
      </c>
      <c r="C301" s="30" t="s">
        <v>311</v>
      </c>
      <c r="D301" s="3">
        <v>51</v>
      </c>
      <c r="E301" s="5">
        <v>27413</v>
      </c>
      <c r="F301" s="27" t="s">
        <v>100</v>
      </c>
      <c r="G301" s="27" t="s">
        <v>80</v>
      </c>
      <c r="H301" s="6">
        <v>18500</v>
      </c>
      <c r="I301" s="6">
        <v>69500</v>
      </c>
      <c r="J301" s="23" t="s">
        <v>38</v>
      </c>
      <c r="K301" s="3">
        <v>31</v>
      </c>
      <c r="L301" s="27" t="str">
        <f>IF(OR(J301="Sim",M301="Sim",I301/H301&gt;=2,N301/H301&gt;=5),"Alto",IF(OR(I301/H301&gt;=1,N301/H301&gt;=3,K301&gt;=30),"Médio","Baixo"))</f>
        <v>Alto</v>
      </c>
      <c r="M301" s="23" t="s">
        <v>38</v>
      </c>
      <c r="N301" s="29">
        <v>18000</v>
      </c>
    </row>
    <row r="302" spans="1:14" ht="15.75">
      <c r="A302" s="27" t="s">
        <v>13</v>
      </c>
      <c r="B302" s="27" t="str">
        <f ca="1">PROPER(Tabela1[[#This Row],[nome]])</f>
        <v>Jaime Dondarrion</v>
      </c>
      <c r="C302" s="30" t="s">
        <v>497</v>
      </c>
      <c r="D302" s="3">
        <v>35</v>
      </c>
      <c r="E302" s="5">
        <v>33336</v>
      </c>
      <c r="F302" s="27" t="s">
        <v>16</v>
      </c>
      <c r="G302" s="27" t="s">
        <v>17</v>
      </c>
      <c r="H302" s="6">
        <v>20900</v>
      </c>
      <c r="I302" s="6">
        <v>54000</v>
      </c>
      <c r="J302" s="23" t="s">
        <v>38</v>
      </c>
      <c r="K302" s="3">
        <v>44</v>
      </c>
      <c r="L302" s="27" t="str">
        <f>IF(OR(J302="Sim",M302="Sim",I302/H302&gt;=2,N302/H302&gt;=5),"Alto",IF(OR(I302/H302&gt;=1,N302/H302&gt;=3,K302&gt;=30),"Médio","Baixo"))</f>
        <v>Alto</v>
      </c>
      <c r="M302" s="23" t="s">
        <v>38</v>
      </c>
      <c r="N302" s="29">
        <v>18000</v>
      </c>
    </row>
    <row r="303" spans="1:14" ht="15.75">
      <c r="A303" s="27" t="s">
        <v>13</v>
      </c>
      <c r="B303" s="27" t="str">
        <f ca="1">PROPER(Tabela1[[#This Row],[nome]])</f>
        <v>Grey Worm Targaryen</v>
      </c>
      <c r="C303" s="30" t="s">
        <v>738</v>
      </c>
      <c r="D303" s="3">
        <v>48</v>
      </c>
      <c r="E303" s="5">
        <v>28689</v>
      </c>
      <c r="F303" s="27" t="s">
        <v>21</v>
      </c>
      <c r="G303" s="27" t="s">
        <v>22</v>
      </c>
      <c r="H303" s="6">
        <v>18700</v>
      </c>
      <c r="I303" s="6">
        <v>11000</v>
      </c>
      <c r="J303" s="23" t="s">
        <v>38</v>
      </c>
      <c r="K303" s="3">
        <v>28</v>
      </c>
      <c r="L303" s="27" t="str">
        <f>IF(OR(J303="Sim",M303="Sim",I303/H303&gt;=2,N303/H303&gt;=5),"Alto",IF(OR(I303/H303&gt;=1,N303/H303&gt;=3,K303&gt;=30),"Médio","Baixo"))</f>
        <v>Baixo</v>
      </c>
      <c r="M303" s="23" t="s">
        <v>38</v>
      </c>
      <c r="N303" s="29">
        <v>18000</v>
      </c>
    </row>
    <row r="304" spans="1:14" ht="15.75">
      <c r="A304" s="27" t="s">
        <v>19</v>
      </c>
      <c r="B304" s="27" t="str">
        <f ca="1">PROPER(Tabela1[[#This Row],[nome]])</f>
        <v>Margaery Tyrell</v>
      </c>
      <c r="C304" s="30" t="s">
        <v>742</v>
      </c>
      <c r="D304" s="3">
        <v>31</v>
      </c>
      <c r="E304" s="5">
        <v>34824</v>
      </c>
      <c r="F304" s="27" t="s">
        <v>243</v>
      </c>
      <c r="G304" s="27" t="s">
        <v>22</v>
      </c>
      <c r="H304" s="6">
        <v>29500</v>
      </c>
      <c r="I304" s="6">
        <v>5000</v>
      </c>
      <c r="J304" s="23" t="s">
        <v>38</v>
      </c>
      <c r="K304" s="3">
        <v>22</v>
      </c>
      <c r="L304" s="27" t="str">
        <f>IF(OR(J304="Sim",M304="Sim",I304/H304&gt;=2,N304/H304&gt;=5),"Alto",IF(OR(I304/H304&gt;=1,N304/H304&gt;=3,K304&gt;=30),"Médio","Baixo"))</f>
        <v>Baixo</v>
      </c>
      <c r="M304" s="23" t="s">
        <v>38</v>
      </c>
      <c r="N304" s="29">
        <v>18000</v>
      </c>
    </row>
    <row r="305" spans="1:14" ht="15.75">
      <c r="A305" s="27" t="s">
        <v>13</v>
      </c>
      <c r="B305" s="27" t="str">
        <f ca="1">PROPER(Tabela1[[#This Row],[nome]])</f>
        <v>Margaery Tarly</v>
      </c>
      <c r="C305" s="30" t="s">
        <v>55</v>
      </c>
      <c r="D305" s="3">
        <v>34</v>
      </c>
      <c r="E305" s="5">
        <v>33624</v>
      </c>
      <c r="F305" s="27" t="s">
        <v>50</v>
      </c>
      <c r="G305" s="27" t="s">
        <v>70</v>
      </c>
      <c r="H305" s="6">
        <v>8000</v>
      </c>
      <c r="I305" s="6">
        <v>14500</v>
      </c>
      <c r="J305" s="23" t="s">
        <v>18</v>
      </c>
      <c r="K305" s="3">
        <v>9</v>
      </c>
      <c r="L305" s="27" t="str">
        <f>IF(OR(J305="Sim",M305="Sim",I305/H305&gt;=2,N305/H305&gt;=5),"Alto",IF(OR(I305/H305&gt;=1,N305/H305&gt;=3,K305&gt;=30),"Médio","Baixo"))</f>
        <v>Alto</v>
      </c>
      <c r="M305" s="23" t="s">
        <v>18</v>
      </c>
      <c r="N305" s="29">
        <v>17500</v>
      </c>
    </row>
    <row r="306" spans="1:14" ht="15.75">
      <c r="A306" s="27" t="s">
        <v>19</v>
      </c>
      <c r="B306" s="27" t="str">
        <f ca="1">PROPER(Tabela1[[#This Row],[nome]])</f>
        <v>Ellaria Mallister</v>
      </c>
      <c r="C306" s="30" t="s">
        <v>193</v>
      </c>
      <c r="D306" s="3">
        <v>38</v>
      </c>
      <c r="E306" s="5">
        <v>32102</v>
      </c>
      <c r="F306" s="27" t="s">
        <v>50</v>
      </c>
      <c r="G306" s="27" t="s">
        <v>70</v>
      </c>
      <c r="H306" s="6">
        <v>13500</v>
      </c>
      <c r="I306" s="6">
        <v>24000</v>
      </c>
      <c r="J306" s="23" t="s">
        <v>38</v>
      </c>
      <c r="K306" s="3">
        <v>2</v>
      </c>
      <c r="L306" s="27" t="str">
        <f>IF(OR(J306="Sim",M306="Sim",I306/H306&gt;=2,N306/H306&gt;=5),"Alto",IF(OR(I306/H306&gt;=1,N306/H306&gt;=3,K306&gt;=30),"Médio","Baixo"))</f>
        <v>Médio</v>
      </c>
      <c r="M306" s="23" t="s">
        <v>38</v>
      </c>
      <c r="N306" s="29">
        <v>17500</v>
      </c>
    </row>
    <row r="307" spans="1:14" ht="15.75">
      <c r="A307" s="27" t="s">
        <v>13</v>
      </c>
      <c r="B307" s="27" t="str">
        <f ca="1">PROPER(Tabela1[[#This Row],[nome]])</f>
        <v>Arya Marbrand</v>
      </c>
      <c r="C307" s="30" t="s">
        <v>207</v>
      </c>
      <c r="D307" s="3">
        <v>24</v>
      </c>
      <c r="E307" s="5">
        <v>37172</v>
      </c>
      <c r="F307" s="27" t="s">
        <v>16</v>
      </c>
      <c r="G307" s="27" t="s">
        <v>17</v>
      </c>
      <c r="H307" s="6">
        <v>21600</v>
      </c>
      <c r="I307" s="6">
        <v>25000</v>
      </c>
      <c r="J307" s="23" t="s">
        <v>38</v>
      </c>
      <c r="K307" s="3">
        <v>33</v>
      </c>
      <c r="L307" s="27" t="str">
        <f>IF(OR(J307="Sim",M307="Sim",I307/H307&gt;=2,N307/H307&gt;=5),"Alto",IF(OR(I307/H307&gt;=1,N307/H307&gt;=3,K307&gt;=30),"Médio","Baixo"))</f>
        <v>Médio</v>
      </c>
      <c r="M307" s="23" t="s">
        <v>38</v>
      </c>
      <c r="N307" s="29">
        <v>17500</v>
      </c>
    </row>
    <row r="308" spans="1:14" ht="15.75">
      <c r="A308" s="27" t="s">
        <v>13</v>
      </c>
      <c r="B308" s="27" t="str">
        <f ca="1">PROPER(Tabela1[[#This Row],[nome]])</f>
        <v>Catelyn Cerwyn</v>
      </c>
      <c r="C308" s="30" t="s">
        <v>274</v>
      </c>
      <c r="D308" s="3">
        <v>60</v>
      </c>
      <c r="E308" s="5">
        <v>24082</v>
      </c>
      <c r="F308" s="27" t="s">
        <v>183</v>
      </c>
      <c r="G308" s="27" t="s">
        <v>397</v>
      </c>
      <c r="H308" s="6">
        <v>13800</v>
      </c>
      <c r="I308" s="6">
        <v>45500</v>
      </c>
      <c r="J308" s="23" t="s">
        <v>38</v>
      </c>
      <c r="K308" s="3">
        <v>30</v>
      </c>
      <c r="L308" s="27" t="str">
        <f>IF(OR(J308="Sim",M308="Sim",I308/H308&gt;=2,N308/H308&gt;=5),"Alto",IF(OR(I308/H308&gt;=1,N308/H308&gt;=3,K308&gt;=30),"Médio","Baixo"))</f>
        <v>Alto</v>
      </c>
      <c r="M308" s="23" t="s">
        <v>38</v>
      </c>
      <c r="N308" s="29">
        <v>17500</v>
      </c>
    </row>
    <row r="309" spans="1:14" ht="15.75">
      <c r="A309" s="27" t="s">
        <v>13</v>
      </c>
      <c r="B309" s="27" t="str">
        <f ca="1">PROPER(Tabela1[[#This Row],[nome]])</f>
        <v>Robert Hornwood</v>
      </c>
      <c r="C309" s="30" t="s">
        <v>383</v>
      </c>
      <c r="D309" s="3">
        <v>73</v>
      </c>
      <c r="E309" s="5">
        <v>19363</v>
      </c>
      <c r="F309" s="27" t="s">
        <v>111</v>
      </c>
      <c r="G309" s="27" t="s">
        <v>87</v>
      </c>
      <c r="H309" s="6">
        <v>23000</v>
      </c>
      <c r="I309" s="6">
        <v>19000</v>
      </c>
      <c r="J309" s="23" t="s">
        <v>38</v>
      </c>
      <c r="K309" s="3">
        <v>0</v>
      </c>
      <c r="L309" s="27" t="str">
        <f>IF(OR(J309="Sim",M309="Sim",I309/H309&gt;=2,N309/H309&gt;=5),"Alto",IF(OR(I309/H309&gt;=1,N309/H309&gt;=3,K309&gt;=30),"Médio","Baixo"))</f>
        <v>Baixo</v>
      </c>
      <c r="M309" s="23" t="s">
        <v>38</v>
      </c>
      <c r="N309" s="29">
        <v>17000</v>
      </c>
    </row>
    <row r="310" spans="1:14" ht="15.75">
      <c r="A310" s="27" t="s">
        <v>13</v>
      </c>
      <c r="B310" s="27" t="str">
        <f ca="1">PROPER(Tabela1[[#This Row],[nome]])</f>
        <v>Jorah Redwyne</v>
      </c>
      <c r="C310" s="30" t="s">
        <v>768</v>
      </c>
      <c r="D310" s="3">
        <v>37</v>
      </c>
      <c r="E310" s="5">
        <v>32513</v>
      </c>
      <c r="F310" s="27" t="s">
        <v>155</v>
      </c>
      <c r="G310" s="27" t="s">
        <v>87</v>
      </c>
      <c r="H310" s="6">
        <v>2600</v>
      </c>
      <c r="I310" s="6" t="s">
        <v>768</v>
      </c>
      <c r="J310" s="23" t="s">
        <v>38</v>
      </c>
      <c r="K310" s="3">
        <v>5</v>
      </c>
      <c r="L310" s="27" t="s">
        <v>769</v>
      </c>
      <c r="M310" s="23" t="s">
        <v>38</v>
      </c>
      <c r="N310" s="29">
        <v>16500</v>
      </c>
    </row>
    <row r="311" spans="1:14" ht="15.75">
      <c r="A311" s="27" t="s">
        <v>13</v>
      </c>
      <c r="B311" s="27" t="str">
        <f ca="1">PROPER(Tabela1[[#This Row],[nome]])</f>
        <v>Jon Hightower</v>
      </c>
      <c r="C311" s="30" t="s">
        <v>267</v>
      </c>
      <c r="D311" s="3">
        <v>59</v>
      </c>
      <c r="E311" s="5">
        <v>24362</v>
      </c>
      <c r="F311" s="27" t="s">
        <v>108</v>
      </c>
      <c r="G311" s="27" t="s">
        <v>80</v>
      </c>
      <c r="H311" s="6">
        <v>18900</v>
      </c>
      <c r="I311" s="6">
        <v>1000</v>
      </c>
      <c r="J311" s="23" t="s">
        <v>18</v>
      </c>
      <c r="K311" s="3">
        <v>42</v>
      </c>
      <c r="L311" s="27" t="str">
        <f>IF(OR(J311="Sim",M311="Sim",I311/H311&gt;=2,N311/H311&gt;=5),"Alto",IF(OR(I311/H311&gt;=1,N311/H311&gt;=3,K311&gt;=30),"Médio","Baixo"))</f>
        <v>Alto</v>
      </c>
      <c r="M311" s="23" t="s">
        <v>18</v>
      </c>
      <c r="N311" s="29">
        <v>16500</v>
      </c>
    </row>
    <row r="312" spans="1:14" ht="15.75">
      <c r="A312" s="27"/>
      <c r="B312" s="27" t="str">
        <f ca="1">PROPER(Tabela1[[#This Row],[nome]])</f>
        <v>Ramsay Stark</v>
      </c>
      <c r="C312" s="30" t="s">
        <v>394</v>
      </c>
      <c r="D312" s="3">
        <v>61</v>
      </c>
      <c r="E312" s="5">
        <v>23813</v>
      </c>
      <c r="F312" s="27" t="s">
        <v>65</v>
      </c>
      <c r="G312" s="27" t="s">
        <v>60</v>
      </c>
      <c r="H312" s="6">
        <v>26300</v>
      </c>
      <c r="I312" s="6">
        <v>40000</v>
      </c>
      <c r="J312" s="23" t="s">
        <v>18</v>
      </c>
      <c r="K312" s="3">
        <v>10</v>
      </c>
      <c r="L312" s="27" t="str">
        <f>IF(OR(J312="Sim",M312="Sim",I312/H312&gt;=2,N312/H312&gt;=5),"Alto",IF(OR(I312/H312&gt;=1,N312/H312&gt;=3,K312&gt;=30),"Médio","Baixo"))</f>
        <v>Alto</v>
      </c>
      <c r="M312" s="23" t="s">
        <v>18</v>
      </c>
      <c r="N312" s="29">
        <v>16500</v>
      </c>
    </row>
    <row r="313" spans="1:14" ht="15.75">
      <c r="A313" s="27" t="s">
        <v>13</v>
      </c>
      <c r="B313" s="27" t="str">
        <f ca="1">PROPER(Tabela1[[#This Row],[nome]])</f>
        <v>Tyrion Tyrell</v>
      </c>
      <c r="C313" s="30" t="s">
        <v>768</v>
      </c>
      <c r="D313" s="3">
        <v>42</v>
      </c>
      <c r="E313" s="5">
        <v>30724</v>
      </c>
      <c r="F313" s="27" t="s">
        <v>92</v>
      </c>
      <c r="G313" s="27" t="s">
        <v>80</v>
      </c>
      <c r="H313" s="6">
        <v>18500</v>
      </c>
      <c r="I313" s="6">
        <v>59000</v>
      </c>
      <c r="J313" s="23" t="s">
        <v>38</v>
      </c>
      <c r="K313" s="3">
        <v>44</v>
      </c>
      <c r="L313" s="27" t="str">
        <f>IF(OR(J313="Sim",M313="Sim",I313/H313&gt;=2,N313/H313&gt;=5),"Alto",IF(OR(I313/H313&gt;=1,N313/H313&gt;=3,K313&gt;=30),"Médio","Baixo"))</f>
        <v>Alto</v>
      </c>
      <c r="M313" s="23" t="s">
        <v>38</v>
      </c>
      <c r="N313" s="29">
        <v>16500</v>
      </c>
    </row>
    <row r="314" spans="1:14" ht="15.75">
      <c r="A314" s="27" t="s">
        <v>13</v>
      </c>
      <c r="B314" s="27" t="str">
        <f ca="1">PROPER(Tabela1[[#This Row],[nome]])</f>
        <v>Loras  Tarth</v>
      </c>
      <c r="C314" s="30" t="s">
        <v>731</v>
      </c>
      <c r="D314" s="3">
        <v>43</v>
      </c>
      <c r="E314" s="5">
        <v>30437</v>
      </c>
      <c r="F314" s="27" t="s">
        <v>163</v>
      </c>
      <c r="G314" s="27" t="s">
        <v>27</v>
      </c>
      <c r="H314" s="6">
        <v>14600</v>
      </c>
      <c r="I314" s="6">
        <v>18500</v>
      </c>
      <c r="J314" s="23" t="s">
        <v>18</v>
      </c>
      <c r="K314" s="3">
        <v>22</v>
      </c>
      <c r="L314" s="27" t="str">
        <f>IF(OR(J314="Sim",M314="Sim",I314/H314&gt;=2,N314/H314&gt;=5),"Alto",IF(OR(I314/H314&gt;=1,N314/H314&gt;=3,K314&gt;=30),"Médio","Baixo"))</f>
        <v>Alto</v>
      </c>
      <c r="M314" s="23" t="s">
        <v>18</v>
      </c>
      <c r="N314" s="29">
        <v>16500</v>
      </c>
    </row>
    <row r="315" spans="1:14" ht="15.75">
      <c r="A315" s="27" t="s">
        <v>13</v>
      </c>
      <c r="B315" s="27" t="str">
        <f ca="1">PROPER(Tabela1[[#This Row],[nome]])</f>
        <v>Ellaria Baelish</v>
      </c>
      <c r="C315" s="30" t="s">
        <v>15</v>
      </c>
      <c r="D315" s="3">
        <v>32</v>
      </c>
      <c r="E315" s="5">
        <v>34347</v>
      </c>
      <c r="F315" s="27" t="s">
        <v>16</v>
      </c>
      <c r="G315" s="27" t="s">
        <v>17</v>
      </c>
      <c r="H315" s="6">
        <v>15600</v>
      </c>
      <c r="I315" s="8">
        <v>0</v>
      </c>
      <c r="J315" s="23" t="s">
        <v>18</v>
      </c>
      <c r="K315" s="3">
        <v>34</v>
      </c>
      <c r="L315" s="27" t="str">
        <f>IF(OR(J315="Sim",M315="Sim",I315/H315&gt;=2,N315/H315&gt;=5),"Alto",IF(OR(I315/H315&gt;=1,N315/H315&gt;=3,K315&gt;=30),"Médio","Baixo"))</f>
        <v>Alto</v>
      </c>
      <c r="M315" s="23" t="s">
        <v>18</v>
      </c>
      <c r="N315" s="29">
        <v>16000</v>
      </c>
    </row>
    <row r="316" spans="1:14" ht="15.75">
      <c r="A316" s="27" t="s">
        <v>19</v>
      </c>
      <c r="B316" s="27" t="str">
        <f ca="1">PROPER(Tabela1[[#This Row],[nome]])</f>
        <v>Tormund Greyjoy</v>
      </c>
      <c r="C316" s="30" t="s">
        <v>477</v>
      </c>
      <c r="D316" s="3">
        <v>58</v>
      </c>
      <c r="E316" s="5">
        <v>24872</v>
      </c>
      <c r="F316" s="27" t="s">
        <v>50</v>
      </c>
      <c r="G316" s="27" t="s">
        <v>70</v>
      </c>
      <c r="H316" s="6">
        <v>12500</v>
      </c>
      <c r="I316" s="6">
        <v>44500</v>
      </c>
      <c r="J316" s="23" t="s">
        <v>38</v>
      </c>
      <c r="K316" s="3">
        <v>13</v>
      </c>
      <c r="L316" s="27" t="str">
        <f>IF(OR(J316="Sim",M316="Sim",I316/H316&gt;=2,N316/H316&gt;=5),"Alto",IF(OR(I316/H316&gt;=1,N316/H316&gt;=3,K316&gt;=30),"Médio","Baixo"))</f>
        <v>Alto</v>
      </c>
      <c r="M316" s="23" t="s">
        <v>38</v>
      </c>
      <c r="N316" s="29">
        <v>16000</v>
      </c>
    </row>
    <row r="317" spans="1:14" ht="15.75">
      <c r="A317" s="27" t="s">
        <v>13</v>
      </c>
      <c r="B317" s="27" t="str">
        <f ca="1">PROPER(Tabela1[[#This Row],[nome]])</f>
        <v>Jon Tarth</v>
      </c>
      <c r="C317" s="30" t="s">
        <v>627</v>
      </c>
      <c r="D317" s="3">
        <v>52</v>
      </c>
      <c r="E317" s="5">
        <v>27088</v>
      </c>
      <c r="F317" s="27" t="s">
        <v>21</v>
      </c>
      <c r="G317" s="27" t="s">
        <v>22</v>
      </c>
      <c r="H317" s="6">
        <v>24900</v>
      </c>
      <c r="I317" s="8">
        <v>0</v>
      </c>
      <c r="J317" s="23" t="s">
        <v>38</v>
      </c>
      <c r="K317" s="3">
        <v>24</v>
      </c>
      <c r="L317" s="27" t="str">
        <f>IF(OR(J317="Sim",M317="Sim",I317/H317&gt;=2,N317/H317&gt;=5),"Alto",IF(OR(I317/H317&gt;=1,N317/H317&gt;=3,K317&gt;=30),"Médio","Baixo"))</f>
        <v>Baixo</v>
      </c>
      <c r="M317" s="23" t="s">
        <v>38</v>
      </c>
      <c r="N317" s="29">
        <v>16000</v>
      </c>
    </row>
    <row r="318" spans="1:14" ht="15.75">
      <c r="A318" s="27" t="s">
        <v>19</v>
      </c>
      <c r="B318" s="27" t="str">
        <f ca="1">PROPER(Tabela1[[#This Row],[nome]])</f>
        <v>Robert Manderly</v>
      </c>
      <c r="C318" s="30" t="s">
        <v>768</v>
      </c>
      <c r="D318" s="3">
        <v>53</v>
      </c>
      <c r="E318" s="5">
        <v>26744</v>
      </c>
      <c r="F318" s="27" t="s">
        <v>50</v>
      </c>
      <c r="G318" s="27" t="s">
        <v>70</v>
      </c>
      <c r="H318" s="6">
        <v>26400</v>
      </c>
      <c r="I318" s="6">
        <v>9500</v>
      </c>
      <c r="J318" s="23" t="s">
        <v>38</v>
      </c>
      <c r="K318" s="3">
        <v>21</v>
      </c>
      <c r="L318" s="27" t="str">
        <f>IF(OR(J318="Sim",M318="Sim",I318/H318&gt;=2,N318/H318&gt;=5),"Alto",IF(OR(I318/H318&gt;=1,N318/H318&gt;=3,K318&gt;=30),"Médio","Baixo"))</f>
        <v>Baixo</v>
      </c>
      <c r="M318" s="23" t="s">
        <v>38</v>
      </c>
      <c r="N318" s="29">
        <v>16000</v>
      </c>
    </row>
    <row r="319" spans="1:14" ht="15.75">
      <c r="A319" s="27" t="s">
        <v>13</v>
      </c>
      <c r="B319" s="27" t="str">
        <f ca="1">PROPER(Tabela1[[#This Row],[nome]])</f>
        <v>Aegon Marbrand</v>
      </c>
      <c r="C319" s="30" t="s">
        <v>768</v>
      </c>
      <c r="D319" s="3">
        <v>65</v>
      </c>
      <c r="E319" s="5">
        <v>22337</v>
      </c>
      <c r="F319" s="27" t="s">
        <v>79</v>
      </c>
      <c r="G319" s="27" t="s">
        <v>80</v>
      </c>
      <c r="H319" s="6">
        <v>3800</v>
      </c>
      <c r="I319" s="6">
        <v>49500</v>
      </c>
      <c r="J319" s="23" t="s">
        <v>38</v>
      </c>
      <c r="K319" s="3">
        <v>16</v>
      </c>
      <c r="L319" s="27" t="str">
        <f>IF(OR(J319="Sim",M319="Sim",I319/H319&gt;=2,N319/H319&gt;=5),"Alto",IF(OR(I319/H319&gt;=1,N319/H319&gt;=3,K319&gt;=30),"Médio","Baixo"))</f>
        <v>Alto</v>
      </c>
      <c r="M319" s="23" t="s">
        <v>38</v>
      </c>
      <c r="N319" s="29">
        <v>15500</v>
      </c>
    </row>
    <row r="320" spans="1:14" ht="15.75">
      <c r="A320" s="27" t="s">
        <v>13</v>
      </c>
      <c r="B320" s="27" t="str">
        <f ca="1">PROPER(Tabela1[[#This Row],[nome]])</f>
        <v>Lyanna Westerling</v>
      </c>
      <c r="C320" s="30" t="s">
        <v>768</v>
      </c>
      <c r="D320" s="3">
        <v>44</v>
      </c>
      <c r="E320" s="5">
        <v>29991</v>
      </c>
      <c r="F320" s="27" t="s">
        <v>163</v>
      </c>
      <c r="G320" s="27" t="s">
        <v>27</v>
      </c>
      <c r="H320" s="6">
        <v>6700</v>
      </c>
      <c r="I320" s="6">
        <v>16500</v>
      </c>
      <c r="J320" s="23" t="s">
        <v>18</v>
      </c>
      <c r="K320" s="3">
        <v>38</v>
      </c>
      <c r="L320" s="27" t="str">
        <f>IF(OR(J320="Sim",M320="Sim",I320/H320&gt;=2,N320/H320&gt;=5),"Alto",IF(OR(I320/H320&gt;=1,N320/H320&gt;=3,K320&gt;=30),"Médio","Baixo"))</f>
        <v>Alto</v>
      </c>
      <c r="M320" s="23" t="s">
        <v>18</v>
      </c>
      <c r="N320" s="29">
        <v>15500</v>
      </c>
    </row>
    <row r="321" spans="1:14" ht="15.75">
      <c r="A321" s="27" t="s">
        <v>13</v>
      </c>
      <c r="B321" s="27" t="str">
        <f ca="1">PROPER(Tabela1[[#This Row],[nome]])</f>
        <v>Beric Seaworth</v>
      </c>
      <c r="C321" s="30" t="s">
        <v>503</v>
      </c>
      <c r="D321" s="3">
        <v>72</v>
      </c>
      <c r="E321" s="5">
        <v>19800</v>
      </c>
      <c r="F321" s="27" t="s">
        <v>76</v>
      </c>
      <c r="G321" s="27" t="s">
        <v>77</v>
      </c>
      <c r="H321" s="6">
        <v>24300</v>
      </c>
      <c r="I321" s="6">
        <v>13500</v>
      </c>
      <c r="J321" s="23" t="s">
        <v>38</v>
      </c>
      <c r="K321" s="3">
        <v>33</v>
      </c>
      <c r="L321" s="27" t="str">
        <f>IF(OR(J321="Sim",M321="Sim",I321/H321&gt;=2,N321/H321&gt;=5),"Alto",IF(OR(I321/H321&gt;=1,N321/H321&gt;=3,K321&gt;=30),"Médio","Baixo"))</f>
        <v>Médio</v>
      </c>
      <c r="M321" s="23" t="s">
        <v>38</v>
      </c>
      <c r="N321" s="29">
        <v>14500</v>
      </c>
    </row>
    <row r="322" spans="1:14" ht="15.75">
      <c r="A322" s="27" t="s">
        <v>13</v>
      </c>
      <c r="B322" s="27" t="str">
        <f ca="1">PROPER(Tabela1[[#This Row],[nome]])</f>
        <v>Robert Westerling</v>
      </c>
      <c r="C322" s="30" t="s">
        <v>624</v>
      </c>
      <c r="D322" s="3">
        <v>25</v>
      </c>
      <c r="E322" s="5">
        <v>37118</v>
      </c>
      <c r="F322" s="27" t="s">
        <v>111</v>
      </c>
      <c r="G322" s="27" t="s">
        <v>87</v>
      </c>
      <c r="H322" s="6">
        <v>27300</v>
      </c>
      <c r="I322" s="6">
        <v>1500</v>
      </c>
      <c r="J322" s="23" t="s">
        <v>18</v>
      </c>
      <c r="K322" s="3">
        <v>33</v>
      </c>
      <c r="L322" s="27" t="str">
        <f>IF(OR(J322="Sim",M322="Sim",I322/H322&gt;=2,N322/H322&gt;=5),"Alto",IF(OR(I322/H322&gt;=1,N322/H322&gt;=3,K322&gt;=30),"Médio","Baixo"))</f>
        <v>Alto</v>
      </c>
      <c r="M322" s="23" t="s">
        <v>18</v>
      </c>
      <c r="N322" s="29">
        <v>14000</v>
      </c>
    </row>
    <row r="323" spans="1:14" ht="15.75">
      <c r="A323" s="27" t="s">
        <v>13</v>
      </c>
      <c r="B323" s="27" t="str">
        <f ca="1">PROPER(Tabela1[[#This Row],[nome]])</f>
        <v>Davos Tyrell</v>
      </c>
      <c r="C323" s="30" t="s">
        <v>768</v>
      </c>
      <c r="D323" s="3">
        <v>57</v>
      </c>
      <c r="E323" s="5"/>
      <c r="F323" s="27" t="s">
        <v>41</v>
      </c>
      <c r="G323" s="27" t="s">
        <v>46</v>
      </c>
      <c r="H323" s="8" t="s">
        <v>768</v>
      </c>
      <c r="I323" s="6" t="s">
        <v>768</v>
      </c>
      <c r="J323" s="23" t="s">
        <v>18</v>
      </c>
      <c r="K323" s="3">
        <v>28</v>
      </c>
      <c r="L323" s="27" t="s">
        <v>769</v>
      </c>
      <c r="M323" s="23" t="s">
        <v>18</v>
      </c>
      <c r="N323" s="29">
        <v>13000</v>
      </c>
    </row>
    <row r="324" spans="1:14" ht="15.75">
      <c r="A324" s="27" t="s">
        <v>13</v>
      </c>
      <c r="B324" s="27" t="str">
        <f ca="1">PROPER(Tabela1[[#This Row],[nome]])</f>
        <v>Tyrion Lannister</v>
      </c>
      <c r="C324" s="30" t="s">
        <v>768</v>
      </c>
      <c r="D324" s="3">
        <v>24</v>
      </c>
      <c r="E324" s="5">
        <v>37470</v>
      </c>
      <c r="F324" s="27" t="s">
        <v>243</v>
      </c>
      <c r="G324" s="27" t="s">
        <v>22</v>
      </c>
      <c r="H324" s="6">
        <v>16900</v>
      </c>
      <c r="I324" s="6">
        <v>42500</v>
      </c>
      <c r="J324" s="23" t="s">
        <v>18</v>
      </c>
      <c r="K324" s="3">
        <v>26</v>
      </c>
      <c r="L324" s="27" t="str">
        <f>IF(OR(J324="Sim",M324="Sim",I324/H324&gt;=2,N324/H324&gt;=5),"Alto",IF(OR(I324/H324&gt;=1,N324/H324&gt;=3,K324&gt;=30),"Médio","Baixo"))</f>
        <v>Alto</v>
      </c>
      <c r="M324" s="23" t="s">
        <v>18</v>
      </c>
      <c r="N324" s="29">
        <v>12500</v>
      </c>
    </row>
    <row r="325" spans="1:14" ht="15.75">
      <c r="A325" s="27" t="s">
        <v>19</v>
      </c>
      <c r="B325" s="27" t="str">
        <f ca="1">PROPER(Tabela1[[#This Row],[nome]])</f>
        <v>Jorah Hightower</v>
      </c>
      <c r="C325" s="30" t="s">
        <v>102</v>
      </c>
      <c r="D325" s="3">
        <v>62</v>
      </c>
      <c r="E325" s="5">
        <v>23259</v>
      </c>
      <c r="F325" s="27" t="s">
        <v>26</v>
      </c>
      <c r="G325" s="27" t="s">
        <v>27</v>
      </c>
      <c r="H325" s="8" t="s">
        <v>768</v>
      </c>
      <c r="I325" s="8">
        <v>0</v>
      </c>
      <c r="J325" s="23" t="s">
        <v>18</v>
      </c>
      <c r="K325" s="3">
        <v>1</v>
      </c>
      <c r="L325" s="27" t="s">
        <v>769</v>
      </c>
      <c r="M325" s="23" t="s">
        <v>18</v>
      </c>
      <c r="N325" s="29">
        <v>12000</v>
      </c>
    </row>
    <row r="326" spans="1:14" ht="15.75">
      <c r="A326" s="27" t="s">
        <v>13</v>
      </c>
      <c r="B326" s="27" t="str">
        <f ca="1">PROPER(Tabela1[[#This Row],[nome]])</f>
        <v>Brienne Manderly</v>
      </c>
      <c r="C326" s="30" t="s">
        <v>152</v>
      </c>
      <c r="D326" s="3">
        <v>29</v>
      </c>
      <c r="E326" s="5">
        <v>35472</v>
      </c>
      <c r="F326" s="27" t="s">
        <v>100</v>
      </c>
      <c r="G326" s="27" t="s">
        <v>80</v>
      </c>
      <c r="H326" s="6">
        <v>11900</v>
      </c>
      <c r="I326" s="6">
        <v>65000</v>
      </c>
      <c r="J326" s="23" t="s">
        <v>18</v>
      </c>
      <c r="K326" s="3">
        <v>29</v>
      </c>
      <c r="L326" s="27" t="str">
        <f>IF(OR(J326="Sim",M326="Sim",I326/H326&gt;=2,N326/H326&gt;=5),"Alto",IF(OR(I326/H326&gt;=1,N326/H326&gt;=3,K326&gt;=30),"Médio","Baixo"))</f>
        <v>Alto</v>
      </c>
      <c r="M326" s="23" t="s">
        <v>18</v>
      </c>
      <c r="N326" s="29">
        <v>12000</v>
      </c>
    </row>
    <row r="327" spans="1:14" ht="15.75">
      <c r="A327" s="27" t="s">
        <v>13</v>
      </c>
      <c r="B327" s="27" t="str">
        <f ca="1">PROPER(Tabela1[[#This Row],[nome]])</f>
        <v>Tormund Royce</v>
      </c>
      <c r="C327" s="30" t="s">
        <v>341</v>
      </c>
      <c r="D327" s="3">
        <v>55</v>
      </c>
      <c r="E327" s="5">
        <v>25880</v>
      </c>
      <c r="F327" s="27" t="s">
        <v>21</v>
      </c>
      <c r="G327" s="27" t="s">
        <v>22</v>
      </c>
      <c r="H327" s="6">
        <v>27500</v>
      </c>
      <c r="I327" s="6">
        <v>14000</v>
      </c>
      <c r="J327" s="23" t="s">
        <v>38</v>
      </c>
      <c r="K327" s="3">
        <v>3</v>
      </c>
      <c r="L327" s="27" t="str">
        <f>IF(OR(J327="Sim",M327="Sim",I327/H327&gt;=2,N327/H327&gt;=5),"Alto",IF(OR(I327/H327&gt;=1,N327/H327&gt;=3,K327&gt;=30),"Médio","Baixo"))</f>
        <v>Baixo</v>
      </c>
      <c r="M327" s="23" t="s">
        <v>38</v>
      </c>
      <c r="N327" s="29">
        <v>11500</v>
      </c>
    </row>
    <row r="328" spans="1:14" ht="15.75">
      <c r="A328" s="27" t="s">
        <v>19</v>
      </c>
      <c r="B328" s="27" t="str">
        <f ca="1">PROPER(Tabela1[[#This Row],[nome]])</f>
        <v>Grey Worm Hornwood</v>
      </c>
      <c r="C328" s="30" t="s">
        <v>516</v>
      </c>
      <c r="D328" s="3">
        <v>26</v>
      </c>
      <c r="E328" s="5">
        <v>36540</v>
      </c>
      <c r="F328" s="27" t="s">
        <v>26</v>
      </c>
      <c r="G328" s="27" t="s">
        <v>27</v>
      </c>
      <c r="H328" s="6">
        <v>24000</v>
      </c>
      <c r="I328" s="6">
        <v>52000</v>
      </c>
      <c r="J328" s="23" t="s">
        <v>38</v>
      </c>
      <c r="K328" s="3">
        <v>30</v>
      </c>
      <c r="L328" s="27" t="str">
        <f>IF(OR(J328="Sim",M328="Sim",I328/H328&gt;=2,N328/H328&gt;=5),"Alto",IF(OR(I328/H328&gt;=1,N328/H328&gt;=3,K328&gt;=30),"Médio","Baixo"))</f>
        <v>Alto</v>
      </c>
      <c r="M328" s="23" t="s">
        <v>38</v>
      </c>
      <c r="N328" s="29">
        <v>11500</v>
      </c>
    </row>
    <row r="329" spans="1:14" ht="15.75">
      <c r="A329" s="27" t="s">
        <v>13</v>
      </c>
      <c r="B329" s="27" t="str">
        <f ca="1">PROPER(Tabela1[[#This Row],[nome]])</f>
        <v>Varys  Stark</v>
      </c>
      <c r="C329" s="30" t="s">
        <v>768</v>
      </c>
      <c r="D329" s="3">
        <v>23</v>
      </c>
      <c r="E329" s="5">
        <v>37566</v>
      </c>
      <c r="F329" s="27" t="s">
        <v>65</v>
      </c>
      <c r="G329" s="27" t="s">
        <v>60</v>
      </c>
      <c r="H329" s="6">
        <v>2600</v>
      </c>
      <c r="I329" s="8">
        <v>0</v>
      </c>
      <c r="J329" s="23" t="s">
        <v>18</v>
      </c>
      <c r="K329" s="3">
        <v>30</v>
      </c>
      <c r="L329" s="27" t="str">
        <f>IF(OR(J329="Sim",M329="Sim",I329/H329&gt;=2,N329/H329&gt;=5),"Alto",IF(OR(I329/H329&gt;=1,N329/H329&gt;=3,K329&gt;=30),"Médio","Baixo"))</f>
        <v>Alto</v>
      </c>
      <c r="M329" s="23" t="s">
        <v>18</v>
      </c>
      <c r="N329" s="29">
        <v>11000</v>
      </c>
    </row>
    <row r="330" spans="1:14" ht="15.75">
      <c r="A330" s="27" t="s">
        <v>13</v>
      </c>
      <c r="B330" s="27" t="str">
        <f ca="1">PROPER(Tabela1[[#This Row],[nome]])</f>
        <v>Robb Clegane</v>
      </c>
      <c r="C330" s="30" t="s">
        <v>490</v>
      </c>
      <c r="D330" s="3">
        <v>18</v>
      </c>
      <c r="E330" s="5">
        <v>39338</v>
      </c>
      <c r="F330" s="27" t="s">
        <v>100</v>
      </c>
      <c r="G330" s="27" t="s">
        <v>80</v>
      </c>
      <c r="H330" s="6">
        <v>14100</v>
      </c>
      <c r="I330" s="6">
        <v>38500</v>
      </c>
      <c r="J330" s="23" t="s">
        <v>38</v>
      </c>
      <c r="K330" s="3">
        <v>7</v>
      </c>
      <c r="L330" s="27" t="str">
        <f>IF(OR(J330="Sim",M330="Sim",I330/H330&gt;=2,N330/H330&gt;=5),"Alto",IF(OR(I330/H330&gt;=1,N330/H330&gt;=3,K330&gt;=30),"Médio","Baixo"))</f>
        <v>Alto</v>
      </c>
      <c r="M330" s="23" t="s">
        <v>38</v>
      </c>
      <c r="N330" s="29">
        <v>11000</v>
      </c>
    </row>
    <row r="331" spans="1:14" ht="15.75">
      <c r="A331" s="27" t="s">
        <v>19</v>
      </c>
      <c r="B331" s="27" t="str">
        <f ca="1">PROPER(Tabela1[[#This Row],[nome]])</f>
        <v>Aegon Florent</v>
      </c>
      <c r="C331" s="30" t="s">
        <v>768</v>
      </c>
      <c r="D331" s="3">
        <v>55</v>
      </c>
      <c r="E331" s="5">
        <v>25895</v>
      </c>
      <c r="F331" s="27" t="s">
        <v>59</v>
      </c>
      <c r="G331" s="27" t="s">
        <v>60</v>
      </c>
      <c r="H331" s="6">
        <v>6800</v>
      </c>
      <c r="I331" s="6">
        <v>12000</v>
      </c>
      <c r="J331" s="23" t="s">
        <v>38</v>
      </c>
      <c r="K331" s="3">
        <v>6</v>
      </c>
      <c r="L331" s="27" t="str">
        <f>IF(OR(J331="Sim",M331="Sim",I331/H331&gt;=2,N331/H331&gt;=5),"Alto",IF(OR(I331/H331&gt;=1,N331/H331&gt;=3,K331&gt;=30),"Médio","Baixo"))</f>
        <v>Médio</v>
      </c>
      <c r="M331" s="23" t="s">
        <v>38</v>
      </c>
      <c r="N331" s="29">
        <v>11000</v>
      </c>
    </row>
    <row r="332" spans="1:14" ht="15.75">
      <c r="A332" s="27" t="s">
        <v>19</v>
      </c>
      <c r="B332" s="27" t="str">
        <f ca="1">PROPER(Tabela1[[#This Row],[nome]])</f>
        <v>Eddard Greyjoy</v>
      </c>
      <c r="C332" s="30" t="s">
        <v>603</v>
      </c>
      <c r="D332" s="3">
        <v>55</v>
      </c>
      <c r="E332" s="5">
        <v>25848</v>
      </c>
      <c r="F332" s="27" t="s">
        <v>59</v>
      </c>
      <c r="G332" s="27" t="s">
        <v>60</v>
      </c>
      <c r="H332" s="8" t="s">
        <v>768</v>
      </c>
      <c r="I332" s="6">
        <v>5000</v>
      </c>
      <c r="J332" s="23" t="s">
        <v>38</v>
      </c>
      <c r="K332" s="3">
        <v>8</v>
      </c>
      <c r="L332" s="27" t="s">
        <v>770</v>
      </c>
      <c r="M332" s="23" t="s">
        <v>38</v>
      </c>
      <c r="N332" s="29">
        <v>11000</v>
      </c>
    </row>
    <row r="333" spans="1:14" ht="15.75">
      <c r="A333" s="27" t="s">
        <v>13</v>
      </c>
      <c r="B333" s="27" t="str">
        <f ca="1">PROPER(Tabela1[[#This Row],[nome]])</f>
        <v>Jorah Hightower</v>
      </c>
      <c r="C333" s="30" t="s">
        <v>585</v>
      </c>
      <c r="D333" s="3">
        <v>44</v>
      </c>
      <c r="E333" s="5">
        <v>30069</v>
      </c>
      <c r="F333" s="27" t="s">
        <v>76</v>
      </c>
      <c r="G333" s="27" t="s">
        <v>77</v>
      </c>
      <c r="H333" s="6">
        <v>21700</v>
      </c>
      <c r="I333" s="6">
        <v>34500</v>
      </c>
      <c r="J333" s="23" t="s">
        <v>38</v>
      </c>
      <c r="K333" s="3">
        <v>29</v>
      </c>
      <c r="L333" s="27" t="str">
        <f>IF(OR(J333="Sim",M333="Sim",I333/H333&gt;=2,N333/H333&gt;=5),"Alto",IF(OR(I333/H333&gt;=1,N333/H333&gt;=3,K333&gt;=30),"Médio","Baixo"))</f>
        <v>Médio</v>
      </c>
      <c r="M333" s="23" t="s">
        <v>38</v>
      </c>
      <c r="N333" s="29">
        <v>10500</v>
      </c>
    </row>
    <row r="334" spans="1:14" ht="15.75">
      <c r="A334" s="27" t="s">
        <v>13</v>
      </c>
      <c r="B334" s="27" t="str">
        <f ca="1">PROPER(Tabela1[[#This Row],[nome]])</f>
        <v>Jon Dayne</v>
      </c>
      <c r="C334" s="30" t="s">
        <v>768</v>
      </c>
      <c r="D334" s="3">
        <v>20</v>
      </c>
      <c r="E334" s="5">
        <v>38678</v>
      </c>
      <c r="F334" s="27" t="s">
        <v>65</v>
      </c>
      <c r="G334" s="27" t="s">
        <v>60</v>
      </c>
      <c r="H334" s="6">
        <v>9300</v>
      </c>
      <c r="I334" s="6">
        <v>35000</v>
      </c>
      <c r="J334" s="23" t="s">
        <v>38</v>
      </c>
      <c r="K334" s="3">
        <v>5</v>
      </c>
      <c r="L334" s="27" t="str">
        <f>IF(OR(J334="Sim",M334="Sim",I334/H334&gt;=2,N334/H334&gt;=5),"Alto",IF(OR(I334/H334&gt;=1,N334/H334&gt;=3,K334&gt;=30),"Médio","Baixo"))</f>
        <v>Alto</v>
      </c>
      <c r="M334" s="23" t="s">
        <v>38</v>
      </c>
      <c r="N334" s="29">
        <v>10500</v>
      </c>
    </row>
    <row r="335" spans="1:14" ht="15.75">
      <c r="A335" s="27" t="s">
        <v>13</v>
      </c>
      <c r="B335" s="27" t="str">
        <f ca="1">PROPER(Tabela1[[#This Row],[nome]])</f>
        <v>Jon Tarth</v>
      </c>
      <c r="C335" s="30" t="s">
        <v>683</v>
      </c>
      <c r="D335" s="3">
        <v>26</v>
      </c>
      <c r="E335" s="5">
        <v>36671</v>
      </c>
      <c r="F335" s="27" t="s">
        <v>21</v>
      </c>
      <c r="G335" s="27" t="s">
        <v>22</v>
      </c>
      <c r="H335" s="6">
        <v>25000</v>
      </c>
      <c r="I335" s="6">
        <v>1000</v>
      </c>
      <c r="J335" s="23" t="s">
        <v>38</v>
      </c>
      <c r="K335" s="3">
        <v>16</v>
      </c>
      <c r="L335" s="27" t="str">
        <f>IF(OR(J335="Sim",M335="Sim",I335/H335&gt;=2,N335/H335&gt;=5),"Alto",IF(OR(I335/H335&gt;=1,N335/H335&gt;=3,K335&gt;=30),"Médio","Baixo"))</f>
        <v>Baixo</v>
      </c>
      <c r="M335" s="23" t="s">
        <v>38</v>
      </c>
      <c r="N335" s="29">
        <v>10500</v>
      </c>
    </row>
    <row r="336" spans="1:14" ht="15.75">
      <c r="A336" s="27" t="s">
        <v>13</v>
      </c>
      <c r="B336" s="27" t="str">
        <f ca="1">PROPER(Tabela1[[#This Row],[nome]])</f>
        <v>Missandei Karstark</v>
      </c>
      <c r="C336" s="30" t="s">
        <v>271</v>
      </c>
      <c r="D336" s="3">
        <v>42</v>
      </c>
      <c r="E336" s="5">
        <v>30666</v>
      </c>
      <c r="F336" s="27" t="s">
        <v>26</v>
      </c>
      <c r="G336" s="27" t="s">
        <v>27</v>
      </c>
      <c r="H336" s="6">
        <v>6000</v>
      </c>
      <c r="I336" s="6">
        <v>55000</v>
      </c>
      <c r="J336" s="23" t="s">
        <v>38</v>
      </c>
      <c r="K336" s="3">
        <v>5</v>
      </c>
      <c r="L336" s="27" t="str">
        <f>IF(OR(J336="Sim",M336="Sim",I336/H336&gt;=2,N336/H336&gt;=5),"Alto",IF(OR(I336/H336&gt;=1,N336/H336&gt;=3,K336&gt;=30),"Médio","Baixo"))</f>
        <v>Alto</v>
      </c>
      <c r="M336" s="23" t="s">
        <v>38</v>
      </c>
      <c r="N336" s="29">
        <v>10000</v>
      </c>
    </row>
    <row r="337" spans="1:14" ht="15.75">
      <c r="A337" s="27" t="s">
        <v>13</v>
      </c>
      <c r="B337" s="27" t="str">
        <f ca="1">PROPER(Tabela1[[#This Row],[nome]])</f>
        <v>Gilly Glover</v>
      </c>
      <c r="C337" s="30" t="s">
        <v>768</v>
      </c>
      <c r="D337" s="3">
        <v>58</v>
      </c>
      <c r="E337" s="5">
        <v>24840</v>
      </c>
      <c r="F337" s="27" t="s">
        <v>183</v>
      </c>
      <c r="G337" s="27" t="s">
        <v>397</v>
      </c>
      <c r="H337" s="6">
        <v>2800</v>
      </c>
      <c r="I337" s="6">
        <v>35000</v>
      </c>
      <c r="J337" s="23" t="s">
        <v>38</v>
      </c>
      <c r="K337" s="3">
        <v>36</v>
      </c>
      <c r="L337" s="27" t="str">
        <f>IF(OR(J337="Sim",M337="Sim",I337/H337&gt;=2,N337/H337&gt;=5),"Alto",IF(OR(I337/H337&gt;=1,N337/H337&gt;=3,K337&gt;=30),"Médio","Baixo"))</f>
        <v>Alto</v>
      </c>
      <c r="M337" s="23" t="s">
        <v>38</v>
      </c>
      <c r="N337" s="29">
        <v>9000</v>
      </c>
    </row>
    <row r="338" spans="1:14" ht="15.75">
      <c r="A338" s="27" t="s">
        <v>19</v>
      </c>
      <c r="B338" s="27" t="str">
        <f ca="1">PROPER(Tabela1[[#This Row],[nome]])</f>
        <v>Ellaria Bracken</v>
      </c>
      <c r="C338" s="30" t="s">
        <v>227</v>
      </c>
      <c r="D338" s="3">
        <v>59</v>
      </c>
      <c r="E338" s="5">
        <v>24512</v>
      </c>
      <c r="F338" s="27" t="s">
        <v>155</v>
      </c>
      <c r="G338" s="27" t="s">
        <v>87</v>
      </c>
      <c r="H338" s="6">
        <v>6300</v>
      </c>
      <c r="I338" s="6">
        <v>15000</v>
      </c>
      <c r="J338" s="23" t="s">
        <v>38</v>
      </c>
      <c r="K338" s="3">
        <v>42</v>
      </c>
      <c r="L338" s="27" t="str">
        <f>IF(OR(J338="Sim",M338="Sim",I338/H338&gt;=2,N338/H338&gt;=5),"Alto",IF(OR(I338/H338&gt;=1,N338/H338&gt;=3,K338&gt;=30),"Médio","Baixo"))</f>
        <v>Alto</v>
      </c>
      <c r="M338" s="23" t="s">
        <v>38</v>
      </c>
      <c r="N338" s="29">
        <v>8500</v>
      </c>
    </row>
    <row r="339" spans="1:14" ht="15.75">
      <c r="A339" s="27" t="s">
        <v>13</v>
      </c>
      <c r="B339" s="27" t="str">
        <f ca="1">PROPER(Tabela1[[#This Row],[nome]])</f>
        <v>Robb Greyjoy</v>
      </c>
      <c r="C339" s="30" t="s">
        <v>534</v>
      </c>
      <c r="D339" s="3">
        <v>25</v>
      </c>
      <c r="E339" s="5">
        <v>37056</v>
      </c>
      <c r="F339" s="27" t="s">
        <v>100</v>
      </c>
      <c r="G339" s="27" t="s">
        <v>80</v>
      </c>
      <c r="H339" s="6">
        <v>25400</v>
      </c>
      <c r="I339" s="6">
        <v>4000</v>
      </c>
      <c r="J339" s="23" t="s">
        <v>38</v>
      </c>
      <c r="K339" s="3">
        <v>4</v>
      </c>
      <c r="L339" s="27" t="str">
        <f>IF(OR(J339="Sim",M339="Sim",I339/H339&gt;=2,N339/H339&gt;=5),"Alto",IF(OR(I339/H339&gt;=1,N339/H339&gt;=3,K339&gt;=30),"Médio","Baixo"))</f>
        <v>Baixo</v>
      </c>
      <c r="M339" s="23" t="s">
        <v>38</v>
      </c>
      <c r="N339" s="29">
        <v>8500</v>
      </c>
    </row>
    <row r="340" spans="1:14" ht="15.75">
      <c r="A340" s="27" t="s">
        <v>13</v>
      </c>
      <c r="B340" s="27" t="str">
        <f ca="1">PROPER(Tabela1[[#This Row],[nome]])</f>
        <v>Robert Karstark</v>
      </c>
      <c r="C340" s="30" t="s">
        <v>95</v>
      </c>
      <c r="D340" s="3">
        <f ca="1">INT((TODAY()-E340)/365)</f>
        <v>68</v>
      </c>
      <c r="E340" s="5">
        <v>21378</v>
      </c>
      <c r="F340" s="27" t="s">
        <v>59</v>
      </c>
      <c r="G340" s="27" t="s">
        <v>60</v>
      </c>
      <c r="H340" s="6">
        <v>14300</v>
      </c>
      <c r="I340" s="6">
        <v>32500</v>
      </c>
      <c r="J340" s="23" t="s">
        <v>18</v>
      </c>
      <c r="K340" s="3">
        <v>15</v>
      </c>
      <c r="L340" s="27" t="str">
        <f>IF(OR(J340="Sim",M340="Sim",I340/H340&gt;=2,N340/H340&gt;=5),"Alto",IF(OR(I340/H340&gt;=1,N340/H340&gt;=3,K340&gt;=30),"Médio","Baixo"))</f>
        <v>Alto</v>
      </c>
      <c r="M340" s="23" t="s">
        <v>18</v>
      </c>
      <c r="N340" s="29">
        <v>8000</v>
      </c>
    </row>
    <row r="341" spans="1:14" ht="15.75">
      <c r="A341" s="27" t="s">
        <v>19</v>
      </c>
      <c r="B341" s="27" t="str">
        <f ca="1">PROPER(Tabela1[[#This Row],[nome]])</f>
        <v>Brienne Reed</v>
      </c>
      <c r="C341" s="30" t="s">
        <v>117</v>
      </c>
      <c r="D341" s="3">
        <v>68</v>
      </c>
      <c r="E341" s="5">
        <v>21293</v>
      </c>
      <c r="F341" s="27" t="s">
        <v>50</v>
      </c>
      <c r="G341" s="27" t="s">
        <v>70</v>
      </c>
      <c r="H341" s="6">
        <v>3800</v>
      </c>
      <c r="I341" s="6">
        <v>70000</v>
      </c>
      <c r="J341" s="23" t="s">
        <v>18</v>
      </c>
      <c r="K341" s="3">
        <v>34</v>
      </c>
      <c r="L341" s="27" t="str">
        <f>IF(OR(J341="Sim",M341="Sim",I341/H341&gt;=2,N341/H341&gt;=5),"Alto",IF(OR(I341/H341&gt;=1,N341/H341&gt;=3,K341&gt;=30),"Médio","Baixo"))</f>
        <v>Alto</v>
      </c>
      <c r="M341" s="23" t="s">
        <v>18</v>
      </c>
      <c r="N341" s="29">
        <v>7500</v>
      </c>
    </row>
    <row r="342" spans="1:14" ht="15.75">
      <c r="A342" s="27" t="s">
        <v>13</v>
      </c>
      <c r="B342" s="27" t="str">
        <f ca="1">PROPER(Tabela1[[#This Row],[nome]])</f>
        <v>Jeor Karstark</v>
      </c>
      <c r="C342" s="30" t="s">
        <v>348</v>
      </c>
      <c r="D342" s="3">
        <v>25</v>
      </c>
      <c r="E342" s="5">
        <v>37137</v>
      </c>
      <c r="F342" s="27" t="s">
        <v>16</v>
      </c>
      <c r="G342" s="27" t="s">
        <v>17</v>
      </c>
      <c r="H342" s="8" t="s">
        <v>768</v>
      </c>
      <c r="I342" s="6">
        <v>21000</v>
      </c>
      <c r="J342" s="23" t="s">
        <v>38</v>
      </c>
      <c r="K342" s="3">
        <v>34</v>
      </c>
      <c r="L342" s="27" t="s">
        <v>771</v>
      </c>
      <c r="M342" s="23" t="s">
        <v>38</v>
      </c>
      <c r="N342" s="29">
        <v>7500</v>
      </c>
    </row>
    <row r="343" spans="1:14" ht="15.75">
      <c r="A343" s="27" t="s">
        <v>19</v>
      </c>
      <c r="B343" s="27" t="str">
        <f ca="1">PROPER(Tabela1[[#This Row],[nome]])</f>
        <v>Jorah Dondarrion</v>
      </c>
      <c r="C343" s="30" t="s">
        <v>173</v>
      </c>
      <c r="D343" s="3">
        <v>39</v>
      </c>
      <c r="E343" s="5">
        <v>31693</v>
      </c>
      <c r="F343" s="27" t="s">
        <v>41</v>
      </c>
      <c r="G343" s="27" t="s">
        <v>46</v>
      </c>
      <c r="H343" s="6">
        <v>22200</v>
      </c>
      <c r="I343" s="8">
        <v>0</v>
      </c>
      <c r="J343" s="23" t="s">
        <v>18</v>
      </c>
      <c r="K343" s="3">
        <v>3</v>
      </c>
      <c r="L343" s="27" t="str">
        <f>IF(OR(J343="Sim",M343="Sim",I343/H343&gt;=2,N343/H343&gt;=5),"Alto",IF(OR(I343/H343&gt;=1,N343/H343&gt;=3,K343&gt;=30),"Médio","Baixo"))</f>
        <v>Alto</v>
      </c>
      <c r="M343" s="23" t="s">
        <v>18</v>
      </c>
      <c r="N343" s="29">
        <v>7000</v>
      </c>
    </row>
    <row r="344" spans="1:14" ht="15.75">
      <c r="A344" s="27" t="s">
        <v>13</v>
      </c>
      <c r="B344" s="27" t="str">
        <f ca="1">PROPER(Tabela1[[#This Row],[nome]])</f>
        <v>Bronn Stark</v>
      </c>
      <c r="C344" s="30" t="s">
        <v>570</v>
      </c>
      <c r="D344" s="3">
        <v>30</v>
      </c>
      <c r="E344" s="5">
        <v>35180</v>
      </c>
      <c r="F344" s="27" t="s">
        <v>92</v>
      </c>
      <c r="G344" s="27" t="s">
        <v>80</v>
      </c>
      <c r="H344" s="6">
        <v>13800</v>
      </c>
      <c r="I344" s="6">
        <v>42000</v>
      </c>
      <c r="J344" s="23" t="s">
        <v>768</v>
      </c>
      <c r="K344" s="3">
        <v>29</v>
      </c>
      <c r="L344" s="27" t="str">
        <f>IF(OR(J344="Sim",M344="Sim",I344/H344&gt;=2,N344/H344&gt;=5),"Alto",IF(OR(I344/H344&gt;=1,N344/H344&gt;=3,K344&gt;=30),"Médio","Baixo"))</f>
        <v>Alto</v>
      </c>
      <c r="M344" s="23" t="s">
        <v>768</v>
      </c>
      <c r="N344" s="29">
        <v>7000</v>
      </c>
    </row>
    <row r="345" spans="1:14" ht="15.75">
      <c r="A345" s="27" t="s">
        <v>13</v>
      </c>
      <c r="B345" s="27" t="str">
        <f ca="1">PROPER(Tabela1[[#This Row],[nome]])</f>
        <v>Eddard Payne</v>
      </c>
      <c r="C345" s="30" t="s">
        <v>768</v>
      </c>
      <c r="D345" s="3">
        <v>26</v>
      </c>
      <c r="E345" s="5">
        <v>36411</v>
      </c>
      <c r="F345" s="27" t="s">
        <v>76</v>
      </c>
      <c r="G345" s="27" t="s">
        <v>77</v>
      </c>
      <c r="H345" s="6">
        <v>9200</v>
      </c>
      <c r="I345" s="6">
        <v>68500</v>
      </c>
      <c r="J345" s="23" t="s">
        <v>38</v>
      </c>
      <c r="K345" s="3">
        <v>27</v>
      </c>
      <c r="L345" s="27" t="str">
        <f>IF(OR(J345="Sim",M345="Sim",I345/H345&gt;=2,N345/H345&gt;=5),"Alto",IF(OR(I345/H345&gt;=1,N345/H345&gt;=3,K345&gt;=30),"Médio","Baixo"))</f>
        <v>Alto</v>
      </c>
      <c r="M345" s="23" t="s">
        <v>38</v>
      </c>
      <c r="N345" s="29">
        <v>7000</v>
      </c>
    </row>
    <row r="346" spans="1:14" ht="15.75">
      <c r="A346" s="27" t="s">
        <v>13</v>
      </c>
      <c r="B346" s="27" t="str">
        <f ca="1">PROPER(Tabela1[[#This Row],[nome]])</f>
        <v>Thoros Yronwood</v>
      </c>
      <c r="C346" s="30" t="s">
        <v>431</v>
      </c>
      <c r="D346" s="3">
        <f ca="1">INT((TODAY()-E346)/365)</f>
        <v>55</v>
      </c>
      <c r="E346" s="5">
        <v>25925</v>
      </c>
      <c r="F346" s="27" t="s">
        <v>50</v>
      </c>
      <c r="G346" s="27" t="s">
        <v>70</v>
      </c>
      <c r="H346" s="6">
        <v>20200</v>
      </c>
      <c r="I346" s="6">
        <v>61000</v>
      </c>
      <c r="J346" s="23" t="s">
        <v>38</v>
      </c>
      <c r="K346" s="3">
        <v>10</v>
      </c>
      <c r="L346" s="27" t="str">
        <f>IF(OR(J346="Sim",M346="Sim",I346/H346&gt;=2,N346/H346&gt;=5),"Alto",IF(OR(I346/H346&gt;=1,N346/H346&gt;=3,K346&gt;=30),"Médio","Baixo"))</f>
        <v>Alto</v>
      </c>
      <c r="M346" s="23" t="s">
        <v>38</v>
      </c>
      <c r="N346" s="29">
        <v>6500</v>
      </c>
    </row>
    <row r="347" spans="1:14" ht="15.75">
      <c r="A347" s="27" t="s">
        <v>13</v>
      </c>
      <c r="B347" s="27" t="str">
        <f ca="1">PROPER(Tabela1[[#This Row],[nome]])</f>
        <v>Loras Bracken</v>
      </c>
      <c r="C347" s="30" t="s">
        <v>411</v>
      </c>
      <c r="D347" s="3">
        <v>51</v>
      </c>
      <c r="E347" s="5">
        <v>27505</v>
      </c>
      <c r="F347" s="27" t="s">
        <v>183</v>
      </c>
      <c r="G347" s="27" t="s">
        <v>397</v>
      </c>
      <c r="H347" s="6">
        <v>7200</v>
      </c>
      <c r="I347" s="6">
        <v>17500</v>
      </c>
      <c r="J347" s="23" t="s">
        <v>18</v>
      </c>
      <c r="K347" s="3">
        <v>40</v>
      </c>
      <c r="L347" s="27" t="str">
        <f>IF(OR(J347="Sim",M347="Sim",I347/H347&gt;=2,N347/H347&gt;=5),"Alto",IF(OR(I347/H347&gt;=1,N347/H347&gt;=3,K347&gt;=30),"Médio","Baixo"))</f>
        <v>Alto</v>
      </c>
      <c r="M347" s="23" t="s">
        <v>18</v>
      </c>
      <c r="N347" s="29">
        <v>5500</v>
      </c>
    </row>
    <row r="348" spans="1:14" ht="15.75">
      <c r="A348" s="27" t="s">
        <v>19</v>
      </c>
      <c r="B348" s="27" t="str">
        <f ca="1">PROPER(Tabela1[[#This Row],[nome]])</f>
        <v>Tormund Glover</v>
      </c>
      <c r="C348" s="30" t="s">
        <v>321</v>
      </c>
      <c r="D348" s="3">
        <v>63</v>
      </c>
      <c r="E348" s="5">
        <v>22994</v>
      </c>
      <c r="F348" s="27" t="s">
        <v>50</v>
      </c>
      <c r="G348" s="27" t="s">
        <v>70</v>
      </c>
      <c r="H348" s="6">
        <v>20000</v>
      </c>
      <c r="I348" s="6">
        <v>29500</v>
      </c>
      <c r="J348" s="23" t="s">
        <v>38</v>
      </c>
      <c r="K348" s="3">
        <v>42</v>
      </c>
      <c r="L348" s="27" t="str">
        <f>IF(OR(J348="Sim",M348="Sim",I348/H348&gt;=2,N348/H348&gt;=5),"Alto",IF(OR(I348/H348&gt;=1,N348/H348&gt;=3,K348&gt;=30),"Médio","Baixo"))</f>
        <v>Médio</v>
      </c>
      <c r="M348" s="23" t="s">
        <v>38</v>
      </c>
      <c r="N348" s="29">
        <v>5000</v>
      </c>
    </row>
    <row r="349" spans="1:14" ht="15.75">
      <c r="A349" s="27" t="s">
        <v>13</v>
      </c>
      <c r="B349" s="27" t="str">
        <f ca="1">PROPER(Tabela1[[#This Row],[nome]])</f>
        <v>Stannis Seaworth</v>
      </c>
      <c r="C349" s="30" t="s">
        <v>485</v>
      </c>
      <c r="D349" s="3">
        <v>64</v>
      </c>
      <c r="E349" s="5">
        <v>22886</v>
      </c>
      <c r="F349" s="27" t="s">
        <v>50</v>
      </c>
      <c r="G349" s="27" t="s">
        <v>70</v>
      </c>
      <c r="H349" s="6">
        <v>8800</v>
      </c>
      <c r="I349" s="6">
        <v>66000</v>
      </c>
      <c r="J349" s="23" t="s">
        <v>38</v>
      </c>
      <c r="K349" s="3">
        <v>28</v>
      </c>
      <c r="L349" s="27" t="str">
        <f>IF(OR(J349="Sim",M349="Sim",I349/H349&gt;=2,N349/H349&gt;=5),"Alto",IF(OR(I349/H349&gt;=1,N349/H349&gt;=3,K349&gt;=30),"Médio","Baixo"))</f>
        <v>Alto</v>
      </c>
      <c r="M349" s="23" t="s">
        <v>38</v>
      </c>
      <c r="N349" s="29">
        <v>5000</v>
      </c>
    </row>
    <row r="350" spans="1:14" ht="15.75">
      <c r="A350" s="27" t="s">
        <v>13</v>
      </c>
      <c r="B350" s="27" t="str">
        <f ca="1">PROPER(Tabela1[[#This Row],[nome]])</f>
        <v>Rickon Targaryen</v>
      </c>
      <c r="C350" s="30" t="s">
        <v>680</v>
      </c>
      <c r="D350" s="3">
        <v>19</v>
      </c>
      <c r="E350" s="5">
        <v>39003</v>
      </c>
      <c r="F350" s="27" t="s">
        <v>92</v>
      </c>
      <c r="G350" s="27" t="s">
        <v>80</v>
      </c>
      <c r="H350" s="6">
        <v>4000</v>
      </c>
      <c r="I350" s="6">
        <v>29500</v>
      </c>
      <c r="J350" s="23" t="s">
        <v>18</v>
      </c>
      <c r="K350" s="3">
        <v>13</v>
      </c>
      <c r="L350" s="27" t="str">
        <f>IF(OR(J350="Sim",M350="Sim",I350/H350&gt;=2,N350/H350&gt;=5),"Alto",IF(OR(I350/H350&gt;=1,N350/H350&gt;=3,K350&gt;=30),"Médio","Baixo"))</f>
        <v>Alto</v>
      </c>
      <c r="M350" s="23" t="s">
        <v>18</v>
      </c>
      <c r="N350" s="29">
        <v>5000</v>
      </c>
    </row>
    <row r="351" spans="1:14" ht="15.75">
      <c r="A351" s="27" t="s">
        <v>19</v>
      </c>
      <c r="B351" s="27" t="str">
        <f ca="1">PROPER(Tabela1[[#This Row],[nome]])</f>
        <v>Petyr Mallister</v>
      </c>
      <c r="C351" s="30" t="s">
        <v>768</v>
      </c>
      <c r="D351" s="3">
        <f ca="1">INT((TODAY()-E351)/365)</f>
        <v>36</v>
      </c>
      <c r="E351" s="5">
        <v>32890</v>
      </c>
      <c r="F351" s="27" t="s">
        <v>76</v>
      </c>
      <c r="G351" s="27" t="s">
        <v>77</v>
      </c>
      <c r="H351" s="6">
        <v>28100</v>
      </c>
      <c r="I351" s="6">
        <v>36500</v>
      </c>
      <c r="J351" s="23" t="s">
        <v>38</v>
      </c>
      <c r="K351" s="3">
        <v>13</v>
      </c>
      <c r="L351" s="27" t="str">
        <f>IF(OR(J351="Sim",M351="Sim",I351/H351&gt;=2,N351/H351&gt;=5),"Alto",IF(OR(I351/H351&gt;=1,N351/H351&gt;=3,K351&gt;=30),"Médio","Baixo"))</f>
        <v>Médio</v>
      </c>
      <c r="M351" s="23" t="s">
        <v>38</v>
      </c>
      <c r="N351" s="29">
        <v>5000</v>
      </c>
    </row>
    <row r="352" spans="1:14" ht="15.75">
      <c r="A352" s="27" t="s">
        <v>19</v>
      </c>
      <c r="B352" s="27" t="str">
        <f ca="1">PROPER(Tabela1[[#This Row],[nome]])</f>
        <v>Renly Tallhart</v>
      </c>
      <c r="C352" s="30" t="s">
        <v>768</v>
      </c>
      <c r="D352" s="3">
        <v>27</v>
      </c>
      <c r="E352" s="5">
        <v>36151</v>
      </c>
      <c r="F352" s="27" t="s">
        <v>108</v>
      </c>
      <c r="G352" s="27" t="s">
        <v>80</v>
      </c>
      <c r="H352" s="6">
        <v>25900</v>
      </c>
      <c r="I352" s="8">
        <v>0</v>
      </c>
      <c r="J352" s="23" t="s">
        <v>18</v>
      </c>
      <c r="K352" s="3">
        <v>10</v>
      </c>
      <c r="L352" s="27" t="str">
        <f>IF(OR(J352="Sim",M352="Sim",I352/H352&gt;=2,N352/H352&gt;=5),"Alto",IF(OR(I352/H352&gt;=1,N352/H352&gt;=3,K352&gt;=30),"Médio","Baixo"))</f>
        <v>Alto</v>
      </c>
      <c r="M352" s="23" t="s">
        <v>18</v>
      </c>
      <c r="N352" s="29">
        <v>5000</v>
      </c>
    </row>
    <row r="353" spans="1:14" ht="15.75">
      <c r="A353" s="27" t="s">
        <v>13</v>
      </c>
      <c r="B353" s="27" t="str">
        <f ca="1">PROPER(Tabela1[[#This Row],[nome]])</f>
        <v>Bronn Arryn</v>
      </c>
      <c r="C353" s="30" t="s">
        <v>131</v>
      </c>
      <c r="D353" s="3">
        <v>44</v>
      </c>
      <c r="E353" s="5">
        <v>29975</v>
      </c>
      <c r="F353" s="27" t="s">
        <v>41</v>
      </c>
      <c r="G353" s="27" t="s">
        <v>46</v>
      </c>
      <c r="H353" s="6">
        <v>5300</v>
      </c>
      <c r="I353" s="6">
        <v>6000</v>
      </c>
      <c r="J353" s="23" t="s">
        <v>18</v>
      </c>
      <c r="K353" s="3">
        <v>1</v>
      </c>
      <c r="L353" s="27" t="str">
        <f>IF(OR(J353="Sim",M353="Sim",I353/H353&gt;=2,N353/H353&gt;=5),"Alto",IF(OR(I353/H353&gt;=1,N353/H353&gt;=3,K353&gt;=30),"Médio","Baixo"))</f>
        <v>Alto</v>
      </c>
      <c r="M353" s="23" t="s">
        <v>18</v>
      </c>
      <c r="N353" s="29">
        <v>4500</v>
      </c>
    </row>
    <row r="354" spans="1:14" ht="15.75">
      <c r="A354" s="27" t="s">
        <v>19</v>
      </c>
      <c r="B354" s="27" t="str">
        <f ca="1">PROPER(Tabela1[[#This Row],[nome]])</f>
        <v>Daario Marbrand</v>
      </c>
      <c r="C354" s="30" t="s">
        <v>202</v>
      </c>
      <c r="D354" s="3">
        <v>46</v>
      </c>
      <c r="E354" s="5">
        <v>29113</v>
      </c>
      <c r="F354" s="27" t="s">
        <v>100</v>
      </c>
      <c r="G354" s="27" t="s">
        <v>80</v>
      </c>
      <c r="H354" s="6">
        <v>15000</v>
      </c>
      <c r="I354" s="6">
        <v>32500</v>
      </c>
      <c r="J354" s="23" t="s">
        <v>38</v>
      </c>
      <c r="K354" s="3">
        <v>40</v>
      </c>
      <c r="L354" s="27" t="str">
        <f>IF(OR(J354="Sim",M354="Sim",I354/H354&gt;=2,N354/H354&gt;=5),"Alto",IF(OR(I354/H354&gt;=1,N354/H354&gt;=3,K354&gt;=30),"Médio","Baixo"))</f>
        <v>Alto</v>
      </c>
      <c r="M354" s="23" t="s">
        <v>38</v>
      </c>
      <c r="N354" s="29">
        <v>4500</v>
      </c>
    </row>
    <row r="355" spans="1:14" ht="15.75">
      <c r="A355" s="27" t="s">
        <v>13</v>
      </c>
      <c r="B355" s="27" t="str">
        <f ca="1">PROPER(Tabela1[[#This Row],[nome]])</f>
        <v>Stannis Redwyne</v>
      </c>
      <c r="C355" s="30" t="s">
        <v>282</v>
      </c>
      <c r="D355" s="3">
        <v>34</v>
      </c>
      <c r="E355" s="5">
        <v>33835</v>
      </c>
      <c r="F355" s="27" t="s">
        <v>111</v>
      </c>
      <c r="G355" s="27" t="s">
        <v>87</v>
      </c>
      <c r="H355" s="6">
        <v>5100</v>
      </c>
      <c r="I355" s="6">
        <v>17000</v>
      </c>
      <c r="J355" s="23" t="s">
        <v>38</v>
      </c>
      <c r="K355" s="3">
        <v>3</v>
      </c>
      <c r="L355" s="27" t="str">
        <f>IF(OR(J355="Sim",M355="Sim",I355/H355&gt;=2,N355/H355&gt;=5),"Alto",IF(OR(I355/H355&gt;=1,N355/H355&gt;=3,K355&gt;=30),"Médio","Baixo"))</f>
        <v>Alto</v>
      </c>
      <c r="M355" s="23" t="s">
        <v>38</v>
      </c>
      <c r="N355" s="29">
        <v>4500</v>
      </c>
    </row>
    <row r="356" spans="1:14" ht="15.75">
      <c r="A356" s="27" t="s">
        <v>13</v>
      </c>
      <c r="B356" s="27" t="str">
        <f ca="1">PROPER(Tabela1[[#This Row],[nome]])</f>
        <v>Lyanna Marbrand</v>
      </c>
      <c r="C356" s="30" t="s">
        <v>233</v>
      </c>
      <c r="D356" s="3">
        <v>27</v>
      </c>
      <c r="E356" s="5">
        <v>36308</v>
      </c>
      <c r="F356" s="27" t="s">
        <v>76</v>
      </c>
      <c r="G356" s="27" t="s">
        <v>77</v>
      </c>
      <c r="H356" s="6">
        <v>5300</v>
      </c>
      <c r="I356" s="6">
        <v>22000</v>
      </c>
      <c r="J356" s="23" t="s">
        <v>38</v>
      </c>
      <c r="K356" s="3">
        <v>11</v>
      </c>
      <c r="L356" s="27" t="str">
        <f>IF(OR(J356="Sim",M356="Sim",I356/H356&gt;=2,N356/H356&gt;=5),"Alto",IF(OR(I356/H356&gt;=1,N356/H356&gt;=3,K356&gt;=30),"Médio","Baixo"))</f>
        <v>Alto</v>
      </c>
      <c r="M356" s="23" t="s">
        <v>38</v>
      </c>
      <c r="N356" s="29">
        <v>4500</v>
      </c>
    </row>
    <row r="357" spans="1:14" ht="15.75">
      <c r="A357" s="27" t="s">
        <v>13</v>
      </c>
      <c r="B357" s="27" t="str">
        <f ca="1">PROPER(Tabela1[[#This Row],[nome]])</f>
        <v>Catelyn Lannister</v>
      </c>
      <c r="C357" s="30" t="s">
        <v>607</v>
      </c>
      <c r="D357" s="3">
        <v>33</v>
      </c>
      <c r="E357" s="5">
        <v>34070</v>
      </c>
      <c r="F357" s="27" t="s">
        <v>243</v>
      </c>
      <c r="G357" s="27" t="s">
        <v>22</v>
      </c>
      <c r="H357" s="6">
        <v>29300</v>
      </c>
      <c r="I357" s="6">
        <v>69000</v>
      </c>
      <c r="J357" s="23" t="s">
        <v>18</v>
      </c>
      <c r="K357" s="3">
        <v>0</v>
      </c>
      <c r="L357" s="27" t="str">
        <f>IF(OR(J357="Sim",M357="Sim",I357/H357&gt;=2,N357/H357&gt;=5),"Alto",IF(OR(I357/H357&gt;=1,N357/H357&gt;=3,K357&gt;=30),"Médio","Baixo"))</f>
        <v>Alto</v>
      </c>
      <c r="M357" s="23" t="s">
        <v>18</v>
      </c>
      <c r="N357" s="29">
        <v>4500</v>
      </c>
    </row>
    <row r="358" spans="1:14" ht="15.75">
      <c r="A358" s="27" t="s">
        <v>13</v>
      </c>
      <c r="B358" s="27" t="str">
        <f ca="1">PROPER(Tabela1[[#This Row],[nome]])</f>
        <v>Renly Stark</v>
      </c>
      <c r="C358" s="30" t="s">
        <v>768</v>
      </c>
      <c r="D358" s="3">
        <v>44</v>
      </c>
      <c r="E358" s="5">
        <v>30081</v>
      </c>
      <c r="F358" s="27" t="s">
        <v>65</v>
      </c>
      <c r="G358" s="27" t="s">
        <v>60</v>
      </c>
      <c r="H358" s="6">
        <v>9600</v>
      </c>
      <c r="I358" s="6">
        <v>66000</v>
      </c>
      <c r="J358" s="23" t="s">
        <v>768</v>
      </c>
      <c r="K358" s="3">
        <v>11</v>
      </c>
      <c r="L358" s="27" t="str">
        <f>IF(OR(J358="Sim",M358="Sim",I358/H358&gt;=2,N358/H358&gt;=5),"Alto",IF(OR(I358/H358&gt;=1,N358/H358&gt;=3,K358&gt;=30),"Médio","Baixo"))</f>
        <v>Alto</v>
      </c>
      <c r="M358" s="23" t="s">
        <v>768</v>
      </c>
      <c r="N358" s="29">
        <v>4500</v>
      </c>
    </row>
    <row r="359" spans="1:14" ht="15.75">
      <c r="A359" s="27" t="s">
        <v>13</v>
      </c>
      <c r="B359" s="27" t="str">
        <f ca="1">PROPER(Tabela1[[#This Row],[nome]])</f>
        <v>Sansa Dondarrion</v>
      </c>
      <c r="C359" s="30" t="s">
        <v>649</v>
      </c>
      <c r="D359" s="3">
        <v>22</v>
      </c>
      <c r="E359" s="5">
        <v>37936</v>
      </c>
      <c r="F359" s="27" t="s">
        <v>16</v>
      </c>
      <c r="G359" s="27" t="s">
        <v>17</v>
      </c>
      <c r="H359" s="6">
        <v>4100</v>
      </c>
      <c r="I359" s="6">
        <v>2000</v>
      </c>
      <c r="J359" s="23" t="s">
        <v>38</v>
      </c>
      <c r="K359" s="3">
        <v>8</v>
      </c>
      <c r="L359" s="27" t="str">
        <f>IF(OR(J359="Sim",M359="Sim",I359/H359&gt;=2,N359/H359&gt;=5),"Alto",IF(OR(I359/H359&gt;=1,N359/H359&gt;=3,K359&gt;=30),"Médio","Baixo"))</f>
        <v>Baixo</v>
      </c>
      <c r="M359" s="23" t="s">
        <v>38</v>
      </c>
      <c r="N359" s="29">
        <v>4000</v>
      </c>
    </row>
    <row r="360" spans="1:14" ht="15.75">
      <c r="A360" s="27" t="s">
        <v>13</v>
      </c>
      <c r="B360" s="27" t="str">
        <f ca="1">PROPER(Tabela1[[#This Row],[nome]])</f>
        <v>Bran Tarly</v>
      </c>
      <c r="C360" s="30" t="s">
        <v>757</v>
      </c>
      <c r="D360" s="3">
        <v>53</v>
      </c>
      <c r="E360" s="5">
        <v>26790</v>
      </c>
      <c r="F360" s="27" t="s">
        <v>65</v>
      </c>
      <c r="G360" s="27" t="s">
        <v>60</v>
      </c>
      <c r="H360" s="8" t="s">
        <v>768</v>
      </c>
      <c r="I360" s="6">
        <v>21500</v>
      </c>
      <c r="J360" s="23" t="s">
        <v>18</v>
      </c>
      <c r="K360" s="3">
        <v>44</v>
      </c>
      <c r="L360" s="27" t="s">
        <v>769</v>
      </c>
      <c r="M360" s="23" t="s">
        <v>18</v>
      </c>
      <c r="N360" s="29">
        <v>3500</v>
      </c>
    </row>
    <row r="361" spans="1:14" ht="15.75">
      <c r="A361" s="27" t="s">
        <v>13</v>
      </c>
      <c r="B361" s="27" t="str">
        <f ca="1">PROPER(Tabela1[[#This Row],[nome]])</f>
        <v>Varys Blackwood</v>
      </c>
      <c r="C361" s="30" t="s">
        <v>358</v>
      </c>
      <c r="D361" s="3">
        <v>47</v>
      </c>
      <c r="E361" s="5"/>
      <c r="F361" s="27" t="s">
        <v>65</v>
      </c>
      <c r="G361" s="27" t="s">
        <v>60</v>
      </c>
      <c r="H361" s="6">
        <v>11600</v>
      </c>
      <c r="I361" s="6">
        <v>63500</v>
      </c>
      <c r="J361" s="23" t="s">
        <v>38</v>
      </c>
      <c r="K361" s="3">
        <v>18</v>
      </c>
      <c r="L361" s="27" t="str">
        <f>IF(OR(J361="Sim",M361="Sim",I361/H361&gt;=2,N361/H361&gt;=5),"Alto",IF(OR(I361/H361&gt;=1,N361/H361&gt;=3,K361&gt;=30),"Médio","Baixo"))</f>
        <v>Alto</v>
      </c>
      <c r="M361" s="23" t="s">
        <v>38</v>
      </c>
      <c r="N361" s="29">
        <v>3000</v>
      </c>
    </row>
    <row r="362" spans="1:14" ht="15.75">
      <c r="A362" s="27" t="s">
        <v>13</v>
      </c>
      <c r="B362" s="27" t="str">
        <f ca="1">PROPER(Tabela1[[#This Row],[nome]])</f>
        <v>Olenna Arryn</v>
      </c>
      <c r="C362" s="30" t="s">
        <v>768</v>
      </c>
      <c r="D362" s="3">
        <v>49</v>
      </c>
      <c r="E362" s="5">
        <v>28330</v>
      </c>
      <c r="F362" s="27" t="s">
        <v>65</v>
      </c>
      <c r="G362" s="27" t="s">
        <v>60</v>
      </c>
      <c r="H362" s="6">
        <v>11500</v>
      </c>
      <c r="I362" s="6">
        <v>44500</v>
      </c>
      <c r="J362" s="23" t="s">
        <v>38</v>
      </c>
      <c r="K362" s="3">
        <v>45</v>
      </c>
      <c r="L362" s="27" t="str">
        <f>IF(OR(J362="Sim",M362="Sim",I362/H362&gt;=2,N362/H362&gt;=5),"Alto",IF(OR(I362/H362&gt;=1,N362/H362&gt;=3,K362&gt;=30),"Médio","Baixo"))</f>
        <v>Alto</v>
      </c>
      <c r="M362" s="23" t="s">
        <v>38</v>
      </c>
      <c r="N362" s="29">
        <v>3000</v>
      </c>
    </row>
    <row r="363" spans="1:14" ht="15.75">
      <c r="A363" s="27" t="s">
        <v>13</v>
      </c>
      <c r="B363" s="27" t="str">
        <f ca="1">PROPER(Tabela1[[#This Row],[nome]])</f>
        <v>Brienne Dondarrion</v>
      </c>
      <c r="C363" s="30" t="s">
        <v>545</v>
      </c>
      <c r="D363" s="3">
        <v>39</v>
      </c>
      <c r="E363" s="5">
        <v>31814</v>
      </c>
      <c r="F363" s="27" t="s">
        <v>92</v>
      </c>
      <c r="G363" s="27" t="s">
        <v>80</v>
      </c>
      <c r="H363" s="6">
        <v>9300</v>
      </c>
      <c r="I363" s="6">
        <v>36500</v>
      </c>
      <c r="J363" s="23" t="s">
        <v>38</v>
      </c>
      <c r="K363" s="3" t="s">
        <v>768</v>
      </c>
      <c r="L363" s="27" t="str">
        <f>IF(OR(J363="Sim",M363="Sim",I363/H363&gt;=2,N363/H363&gt;=5),"Alto",IF(OR(I363/H363&gt;=1,N363/H363&gt;=3,K363&gt;=30),"Médio","Baixo"))</f>
        <v>Alto</v>
      </c>
      <c r="M363" s="23" t="s">
        <v>38</v>
      </c>
      <c r="N363" s="29">
        <v>3000</v>
      </c>
    </row>
    <row r="364" spans="1:14" ht="15.75">
      <c r="A364" s="27" t="s">
        <v>13</v>
      </c>
      <c r="B364" s="27" t="str">
        <f ca="1">PROPER(Tabela1[[#This Row],[nome]])</f>
        <v>Rickon Redwyne</v>
      </c>
      <c r="C364" s="30" t="s">
        <v>768</v>
      </c>
      <c r="D364" s="3">
        <v>73</v>
      </c>
      <c r="E364" s="5">
        <v>19588</v>
      </c>
      <c r="F364" s="27" t="s">
        <v>100</v>
      </c>
      <c r="G364" s="27" t="s">
        <v>80</v>
      </c>
      <c r="H364" s="6">
        <v>28600</v>
      </c>
      <c r="I364" s="6">
        <v>40500</v>
      </c>
      <c r="J364" s="23" t="s">
        <v>38</v>
      </c>
      <c r="K364" s="3">
        <v>20</v>
      </c>
      <c r="L364" s="27" t="str">
        <f>IF(OR(J364="Sim",M364="Sim",I364/H364&gt;=2,N364/H364&gt;=5),"Alto",IF(OR(I364/H364&gt;=1,N364/H364&gt;=3,K364&gt;=30),"Médio","Baixo"))</f>
        <v>Médio</v>
      </c>
      <c r="M364" s="23" t="s">
        <v>38</v>
      </c>
      <c r="N364" s="29">
        <v>2500</v>
      </c>
    </row>
    <row r="365" spans="1:14" ht="15.75">
      <c r="A365" s="27" t="s">
        <v>13</v>
      </c>
      <c r="B365" s="27" t="str">
        <f ca="1">PROPER(Tabela1[[#This Row],[nome]])</f>
        <v>Meera Tarly</v>
      </c>
      <c r="C365" s="30" t="s">
        <v>442</v>
      </c>
      <c r="D365" s="3">
        <f ca="1">INT((TODAY()-E365)/365)</f>
        <v>74</v>
      </c>
      <c r="E365" s="5">
        <v>19168</v>
      </c>
      <c r="F365" s="27" t="s">
        <v>50</v>
      </c>
      <c r="G365" s="27" t="s">
        <v>70</v>
      </c>
      <c r="H365" s="6">
        <v>25000</v>
      </c>
      <c r="I365" s="8">
        <v>0</v>
      </c>
      <c r="J365" s="23" t="s">
        <v>38</v>
      </c>
      <c r="K365" s="3">
        <v>3</v>
      </c>
      <c r="L365" s="27" t="str">
        <f>IF(OR(J365="Sim",M365="Sim",I365/H365&gt;=2,N365/H365&gt;=5),"Alto",IF(OR(I365/H365&gt;=1,N365/H365&gt;=3,K365&gt;=30),"Médio","Baixo"))</f>
        <v>Baixo</v>
      </c>
      <c r="M365" s="23" t="s">
        <v>38</v>
      </c>
      <c r="N365" s="29">
        <v>2500</v>
      </c>
    </row>
    <row r="366" spans="1:14" ht="15.75">
      <c r="A366" s="27" t="s">
        <v>19</v>
      </c>
      <c r="B366" s="27" t="str">
        <f ca="1">PROPER(Tabela1[[#This Row],[nome]])</f>
        <v>Viserys Seaworth</v>
      </c>
      <c r="C366" s="30" t="s">
        <v>58</v>
      </c>
      <c r="D366" s="3">
        <v>61</v>
      </c>
      <c r="E366" s="5">
        <v>23667</v>
      </c>
      <c r="F366" s="27" t="s">
        <v>59</v>
      </c>
      <c r="G366" s="27" t="s">
        <v>60</v>
      </c>
      <c r="H366" s="6">
        <v>23000</v>
      </c>
      <c r="I366" s="6">
        <v>44500</v>
      </c>
      <c r="J366" s="23" t="s">
        <v>18</v>
      </c>
      <c r="K366" s="3">
        <v>32</v>
      </c>
      <c r="L366" s="27" t="str">
        <f>IF(OR(J366="Sim",M366="Sim",I366/H366&gt;=2,N366/H366&gt;=5),"Alto",IF(OR(I366/H366&gt;=1,N366/H366&gt;=3,K366&gt;=30),"Médio","Baixo"))</f>
        <v>Alto</v>
      </c>
      <c r="M366" s="23" t="s">
        <v>18</v>
      </c>
      <c r="N366" s="29">
        <v>2000</v>
      </c>
    </row>
    <row r="367" spans="1:14" ht="15.75">
      <c r="A367" s="27" t="s">
        <v>13</v>
      </c>
      <c r="B367" s="27" t="str">
        <f ca="1">PROPER(Tabela1[[#This Row],[nome]])</f>
        <v>Ellaria Swyft</v>
      </c>
      <c r="C367" s="30" t="s">
        <v>376</v>
      </c>
      <c r="D367" s="3">
        <v>72</v>
      </c>
      <c r="E367" s="5">
        <v>19839</v>
      </c>
      <c r="F367" s="27" t="s">
        <v>16</v>
      </c>
      <c r="G367" s="27" t="s">
        <v>17</v>
      </c>
      <c r="H367" s="6">
        <v>3900</v>
      </c>
      <c r="I367" s="6">
        <v>27000</v>
      </c>
      <c r="J367" s="23" t="s">
        <v>38</v>
      </c>
      <c r="K367" s="3">
        <v>33</v>
      </c>
      <c r="L367" s="27" t="str">
        <f>IF(OR(J367="Sim",M367="Sim",I367/H367&gt;=2,N367/H367&gt;=5),"Alto",IF(OR(I367/H367&gt;=1,N367/H367&gt;=3,K367&gt;=30),"Médio","Baixo"))</f>
        <v>Alto</v>
      </c>
      <c r="M367" s="23" t="s">
        <v>38</v>
      </c>
      <c r="N367" s="29">
        <v>2000</v>
      </c>
    </row>
    <row r="368" spans="1:14" ht="15.75">
      <c r="A368" s="27" t="s">
        <v>19</v>
      </c>
      <c r="B368" s="27" t="str">
        <f ca="1">PROPER(Tabela1[[#This Row],[nome]])</f>
        <v>Renly Blackwood</v>
      </c>
      <c r="C368" s="30" t="s">
        <v>613</v>
      </c>
      <c r="D368" s="3">
        <v>20</v>
      </c>
      <c r="E368" s="5">
        <v>38704</v>
      </c>
      <c r="F368" s="27" t="s">
        <v>243</v>
      </c>
      <c r="G368" s="27" t="s">
        <v>22</v>
      </c>
      <c r="H368" s="6">
        <v>12900</v>
      </c>
      <c r="I368" s="6">
        <v>26500</v>
      </c>
      <c r="J368" s="23" t="s">
        <v>38</v>
      </c>
      <c r="K368" s="3">
        <v>13</v>
      </c>
      <c r="L368" s="27" t="str">
        <f>IF(OR(J368="Sim",M368="Sim",I368/H368&gt;=2,N368/H368&gt;=5),"Alto",IF(OR(I368/H368&gt;=1,N368/H368&gt;=3,K368&gt;=30),"Médio","Baixo"))</f>
        <v>Alto</v>
      </c>
      <c r="M368" s="23" t="s">
        <v>38</v>
      </c>
      <c r="N368" s="29">
        <v>2000</v>
      </c>
    </row>
    <row r="369" spans="1:14" ht="15.75">
      <c r="A369" s="27" t="s">
        <v>19</v>
      </c>
      <c r="B369" s="27" t="str">
        <f ca="1">PROPER(Tabela1[[#This Row],[nome]])</f>
        <v>Aegon Umber</v>
      </c>
      <c r="C369" s="30" t="s">
        <v>752</v>
      </c>
      <c r="D369" s="3">
        <v>66</v>
      </c>
      <c r="E369" s="5">
        <v>22101</v>
      </c>
      <c r="F369" s="27" t="s">
        <v>59</v>
      </c>
      <c r="G369" s="27" t="s">
        <v>60</v>
      </c>
      <c r="H369" s="6">
        <v>16800</v>
      </c>
      <c r="I369" s="6">
        <v>79500</v>
      </c>
      <c r="J369" s="23" t="s">
        <v>38</v>
      </c>
      <c r="K369" s="3">
        <v>36</v>
      </c>
      <c r="L369" s="27" t="str">
        <f>IF(OR(J369="Sim",M369="Sim",I369/H369&gt;=2,N369/H369&gt;=5),"Alto",IF(OR(I369/H369&gt;=1,N369/H369&gt;=3,K369&gt;=30),"Médio","Baixo"))</f>
        <v>Alto</v>
      </c>
      <c r="M369" s="23" t="s">
        <v>38</v>
      </c>
      <c r="N369" s="29">
        <v>1500</v>
      </c>
    </row>
    <row r="370" spans="1:14" ht="15.75">
      <c r="A370" s="27" t="s">
        <v>19</v>
      </c>
      <c r="B370" s="27" t="str">
        <f ca="1">PROPER(Tabela1[[#This Row],[nome]])</f>
        <v>Viserys Baratheon</v>
      </c>
      <c r="C370" s="30" t="s">
        <v>403</v>
      </c>
      <c r="D370" s="3">
        <v>33</v>
      </c>
      <c r="E370" s="5">
        <v>33955</v>
      </c>
      <c r="F370" s="27" t="s">
        <v>108</v>
      </c>
      <c r="G370" s="27" t="s">
        <v>80</v>
      </c>
      <c r="H370" s="6">
        <v>25700</v>
      </c>
      <c r="I370" s="6">
        <v>35000</v>
      </c>
      <c r="J370" s="23" t="s">
        <v>38</v>
      </c>
      <c r="K370" s="3">
        <v>40</v>
      </c>
      <c r="L370" s="27" t="str">
        <f>IF(OR(J370="Sim",M370="Sim",I370/H370&gt;=2,N370/H370&gt;=5),"Alto",IF(OR(I370/H370&gt;=1,N370/H370&gt;=3,K370&gt;=30),"Médio","Baixo"))</f>
        <v>Médio</v>
      </c>
      <c r="M370" s="23" t="s">
        <v>38</v>
      </c>
      <c r="N370" s="29">
        <v>1000</v>
      </c>
    </row>
    <row r="382" spans="1:14">
      <c r="D382" s="37"/>
    </row>
  </sheetData>
  <mergeCells count="1">
    <mergeCell ref="A1:L1"/>
  </mergeCells>
  <conditionalFormatting sqref="L1:L1048576">
    <cfRule type="containsText" dxfId="26" priority="3" operator="containsText" text="Alto">
      <formula>NOT(ISERROR(SEARCH("Alto",L1)))</formula>
    </cfRule>
  </conditionalFormatting>
  <conditionalFormatting sqref="L1:L1048576">
    <cfRule type="containsText" dxfId="25" priority="2" operator="containsText" text="Médio">
      <formula>NOT(ISERROR(SEARCH("Médio",L1)))</formula>
    </cfRule>
  </conditionalFormatting>
  <conditionalFormatting sqref="L1:L1048576">
    <cfRule type="containsText" dxfId="24" priority="1" operator="containsText" text="Baixo">
      <formula>NOT(ISERROR(SEARCH("Baixo",L1)))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8F5F-CDA4-4C5C-8933-87D0019BA802}">
  <dimension ref="A1:G14"/>
  <sheetViews>
    <sheetView workbookViewId="0">
      <selection activeCell="B10" sqref="B10:F10"/>
    </sheetView>
  </sheetViews>
  <sheetFormatPr defaultRowHeight="15"/>
  <cols>
    <col min="1" max="1" width="22.28515625" bestFit="1" customWidth="1"/>
    <col min="2" max="2" width="25.42578125" bestFit="1" customWidth="1"/>
    <col min="3" max="3" width="31.42578125" style="21" customWidth="1"/>
    <col min="4" max="4" width="21.42578125" bestFit="1" customWidth="1"/>
    <col min="5" max="5" width="97.7109375" customWidth="1"/>
    <col min="6" max="6" width="44" bestFit="1" customWidth="1"/>
    <col min="7" max="7" width="12.5703125" bestFit="1" customWidth="1"/>
  </cols>
  <sheetData>
    <row r="1" spans="1:7">
      <c r="A1" t="s">
        <v>772</v>
      </c>
      <c r="B1" t="s">
        <v>773</v>
      </c>
      <c r="C1" s="21" t="s">
        <v>774</v>
      </c>
      <c r="D1" t="s">
        <v>775</v>
      </c>
      <c r="E1" t="s">
        <v>776</v>
      </c>
      <c r="F1" t="s">
        <v>777</v>
      </c>
      <c r="G1" t="s">
        <v>778</v>
      </c>
    </row>
    <row r="2" spans="1:7">
      <c r="A2" s="20" t="s">
        <v>779</v>
      </c>
      <c r="B2" s="16" t="s">
        <v>780</v>
      </c>
      <c r="C2" s="17" t="s">
        <v>781</v>
      </c>
      <c r="D2" s="16" t="s">
        <v>782</v>
      </c>
      <c r="E2" s="16" t="s">
        <v>783</v>
      </c>
      <c r="F2" s="16" t="s">
        <v>784</v>
      </c>
      <c r="G2" s="16" t="s">
        <v>785</v>
      </c>
    </row>
    <row r="3" spans="1:7">
      <c r="A3" s="20" t="s">
        <v>786</v>
      </c>
      <c r="B3" s="16" t="s">
        <v>787</v>
      </c>
      <c r="C3" s="17" t="s">
        <v>788</v>
      </c>
      <c r="D3" s="16" t="s">
        <v>789</v>
      </c>
      <c r="E3" s="18" t="s">
        <v>790</v>
      </c>
      <c r="F3" s="16" t="s">
        <v>791</v>
      </c>
      <c r="G3" s="16" t="s">
        <v>785</v>
      </c>
    </row>
    <row r="4" spans="1:7">
      <c r="A4" s="20" t="s">
        <v>792</v>
      </c>
      <c r="B4" s="16" t="s">
        <v>793</v>
      </c>
      <c r="C4" s="17" t="s">
        <v>794</v>
      </c>
      <c r="D4" s="16" t="s">
        <v>795</v>
      </c>
      <c r="E4" s="16" t="s">
        <v>796</v>
      </c>
      <c r="F4" s="16" t="s">
        <v>797</v>
      </c>
      <c r="G4" s="16" t="s">
        <v>785</v>
      </c>
    </row>
    <row r="5" spans="1:7">
      <c r="A5" s="20" t="s">
        <v>798</v>
      </c>
      <c r="B5" s="16" t="s">
        <v>799</v>
      </c>
      <c r="C5" s="19">
        <v>34144</v>
      </c>
      <c r="D5" s="16" t="s">
        <v>800</v>
      </c>
      <c r="E5" s="16" t="s">
        <v>801</v>
      </c>
      <c r="F5" s="16" t="s">
        <v>802</v>
      </c>
      <c r="G5" s="16" t="s">
        <v>785</v>
      </c>
    </row>
    <row r="6" spans="1:7">
      <c r="A6" s="20" t="s">
        <v>803</v>
      </c>
      <c r="B6" s="16" t="s">
        <v>804</v>
      </c>
      <c r="C6" s="19" t="s">
        <v>153</v>
      </c>
      <c r="D6" s="16" t="s">
        <v>800</v>
      </c>
      <c r="E6" s="16" t="s">
        <v>805</v>
      </c>
      <c r="F6" s="16" t="s">
        <v>806</v>
      </c>
      <c r="G6" s="16" t="s">
        <v>785</v>
      </c>
    </row>
    <row r="7" spans="1:7" ht="15.75">
      <c r="A7" s="20" t="s">
        <v>807</v>
      </c>
      <c r="B7" s="16" t="s">
        <v>808</v>
      </c>
      <c r="C7" s="22" t="s">
        <v>809</v>
      </c>
      <c r="D7" s="16" t="s">
        <v>782</v>
      </c>
      <c r="E7" s="16" t="s">
        <v>810</v>
      </c>
      <c r="F7" s="9" t="s">
        <v>183</v>
      </c>
      <c r="G7" s="16" t="s">
        <v>785</v>
      </c>
    </row>
    <row r="8" spans="1:7">
      <c r="A8" s="20" t="s">
        <v>811</v>
      </c>
      <c r="B8" s="16" t="s">
        <v>782</v>
      </c>
      <c r="C8" s="17" t="s">
        <v>812</v>
      </c>
      <c r="D8" s="16" t="s">
        <v>782</v>
      </c>
      <c r="E8" s="16" t="s">
        <v>813</v>
      </c>
      <c r="F8" s="16" t="s">
        <v>784</v>
      </c>
      <c r="G8" s="16" t="s">
        <v>785</v>
      </c>
    </row>
    <row r="9" spans="1:7">
      <c r="A9" s="20" t="s">
        <v>814</v>
      </c>
      <c r="B9" s="16" t="s">
        <v>782</v>
      </c>
      <c r="C9" s="17" t="s">
        <v>815</v>
      </c>
      <c r="D9" s="16" t="s">
        <v>782</v>
      </c>
      <c r="E9" s="16" t="s">
        <v>816</v>
      </c>
      <c r="F9" s="16" t="s">
        <v>784</v>
      </c>
      <c r="G9" s="16" t="s">
        <v>785</v>
      </c>
    </row>
    <row r="10" spans="1:7">
      <c r="A10" s="20" t="s">
        <v>817</v>
      </c>
      <c r="B10" s="35" t="s">
        <v>782</v>
      </c>
      <c r="C10" s="36" t="s">
        <v>818</v>
      </c>
      <c r="D10" s="35" t="s">
        <v>782</v>
      </c>
      <c r="E10" s="35" t="s">
        <v>819</v>
      </c>
      <c r="F10" s="35" t="s">
        <v>820</v>
      </c>
      <c r="G10" s="16" t="s">
        <v>785</v>
      </c>
    </row>
    <row r="11" spans="1:7">
      <c r="A11" s="34" t="s">
        <v>821</v>
      </c>
      <c r="B11" s="16" t="s">
        <v>793</v>
      </c>
      <c r="C11" s="17" t="s">
        <v>794</v>
      </c>
      <c r="D11" s="16" t="s">
        <v>822</v>
      </c>
      <c r="E11" s="16" t="s">
        <v>783</v>
      </c>
      <c r="F11" s="16" t="s">
        <v>823</v>
      </c>
      <c r="G11" s="16" t="s">
        <v>785</v>
      </c>
    </row>
    <row r="12" spans="1:7">
      <c r="A12" s="20" t="s">
        <v>824</v>
      </c>
      <c r="B12" s="16" t="s">
        <v>793</v>
      </c>
      <c r="C12" s="17" t="s">
        <v>825</v>
      </c>
      <c r="D12" s="16" t="s">
        <v>826</v>
      </c>
      <c r="E12" s="16" t="s">
        <v>827</v>
      </c>
      <c r="F12" s="16" t="s">
        <v>828</v>
      </c>
      <c r="G12" s="16" t="s">
        <v>785</v>
      </c>
    </row>
    <row r="13" spans="1:7">
      <c r="A13" s="20" t="s">
        <v>829</v>
      </c>
      <c r="B13" s="16" t="s">
        <v>799</v>
      </c>
      <c r="C13" s="19">
        <v>16000</v>
      </c>
      <c r="D13" s="16" t="s">
        <v>800</v>
      </c>
      <c r="E13" s="16" t="s">
        <v>813</v>
      </c>
      <c r="F13" s="16" t="s">
        <v>830</v>
      </c>
      <c r="G13" s="16" t="s">
        <v>785</v>
      </c>
    </row>
    <row r="14" spans="1:7">
      <c r="A14" s="20" t="s">
        <v>831</v>
      </c>
      <c r="B14" s="16" t="s">
        <v>832</v>
      </c>
      <c r="C14" s="19" t="s">
        <v>833</v>
      </c>
      <c r="D14" s="16" t="s">
        <v>800</v>
      </c>
      <c r="E14" s="16" t="s">
        <v>834</v>
      </c>
      <c r="F14" s="16" t="s">
        <v>835</v>
      </c>
      <c r="G14" s="16" t="s">
        <v>785</v>
      </c>
    </row>
  </sheetData>
  <conditionalFormatting sqref="G2:G14">
    <cfRule type="containsText" dxfId="7" priority="1" operator="containsText" text="OK!">
      <formula>NOT(ISERROR(SEARCH("OK!",G2)))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D43C-7ECC-4176-93D3-7D36A55C5773}">
  <dimension ref="A1:F12"/>
  <sheetViews>
    <sheetView workbookViewId="0">
      <selection activeCell="F8" sqref="F8"/>
    </sheetView>
  </sheetViews>
  <sheetFormatPr defaultRowHeight="15"/>
  <cols>
    <col min="1" max="1" width="23.42578125" bestFit="1" customWidth="1"/>
    <col min="2" max="2" width="30.140625" bestFit="1" customWidth="1"/>
  </cols>
  <sheetData>
    <row r="1" spans="1:6">
      <c r="A1" t="s">
        <v>836</v>
      </c>
      <c r="B1" t="s">
        <v>837</v>
      </c>
    </row>
    <row r="2" spans="1:6">
      <c r="A2" t="s">
        <v>151</v>
      </c>
      <c r="B2" s="7">
        <v>16022</v>
      </c>
      <c r="C2">
        <v>30000</v>
      </c>
    </row>
    <row r="3" spans="1:6">
      <c r="A3" t="s">
        <v>140</v>
      </c>
      <c r="B3" s="7">
        <v>17580</v>
      </c>
      <c r="C3">
        <v>30000</v>
      </c>
    </row>
    <row r="4" spans="1:6">
      <c r="A4" t="s">
        <v>197</v>
      </c>
      <c r="B4" s="7">
        <v>17284</v>
      </c>
      <c r="C4">
        <v>30000</v>
      </c>
    </row>
    <row r="5" spans="1:6">
      <c r="A5" t="s">
        <v>188</v>
      </c>
      <c r="B5" s="7">
        <v>12180</v>
      </c>
      <c r="C5">
        <v>30000</v>
      </c>
    </row>
    <row r="6" spans="1:6">
      <c r="A6" t="s">
        <v>205</v>
      </c>
      <c r="B6" s="7">
        <v>15507</v>
      </c>
      <c r="C6">
        <v>30000</v>
      </c>
    </row>
    <row r="7" spans="1:6">
      <c r="A7" t="s">
        <v>93</v>
      </c>
      <c r="B7" s="7">
        <v>16669</v>
      </c>
      <c r="C7">
        <v>30000</v>
      </c>
    </row>
    <row r="8" spans="1:6">
      <c r="A8" t="s">
        <v>343</v>
      </c>
      <c r="B8" s="7">
        <v>15842</v>
      </c>
      <c r="C8">
        <v>30000</v>
      </c>
      <c r="F8" s="37"/>
    </row>
    <row r="9" spans="1:6">
      <c r="A9" t="s">
        <v>103</v>
      </c>
      <c r="B9" s="7">
        <v>15000</v>
      </c>
      <c r="C9">
        <v>30000</v>
      </c>
    </row>
    <row r="10" spans="1:6">
      <c r="A10" t="s">
        <v>73</v>
      </c>
      <c r="B10" s="7">
        <v>16872</v>
      </c>
      <c r="C10">
        <v>30000</v>
      </c>
    </row>
    <row r="11" spans="1:6">
      <c r="A11" t="s">
        <v>84</v>
      </c>
      <c r="B11" s="7">
        <v>14835</v>
      </c>
      <c r="C11">
        <v>30000</v>
      </c>
    </row>
    <row r="12" spans="1:6">
      <c r="A12" t="s">
        <v>377</v>
      </c>
      <c r="B12" s="7">
        <v>17494</v>
      </c>
      <c r="C12">
        <v>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2026-09-08T18:49:42Z</dcterms:created>
  <dcterms:modified xsi:type="dcterms:W3CDTF">2026-09-17T17:35:23Z</dcterms:modified>
  <cp:category/>
  <cp:contentStatus/>
</cp:coreProperties>
</file>