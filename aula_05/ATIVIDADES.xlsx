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0CCFD41F-A263-456B-A419-2A93F2CB916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</sheets>
  <definedNames>
    <definedName name="_xlnm._FilterDatabase" localSheetId="0" hidden="1">Ex.excel01!$A$2:$E$2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D3" i="2"/>
  <c r="D5" i="2"/>
  <c r="D6" i="2"/>
  <c r="D7" i="2"/>
  <c r="D8" i="2"/>
  <c r="F3" i="4"/>
  <c r="F4" i="4"/>
  <c r="F5" i="4"/>
  <c r="F6" i="4"/>
  <c r="F7" i="4"/>
  <c r="F3" i="3"/>
  <c r="G3" i="3" s="1"/>
  <c r="F4" i="3"/>
  <c r="G4" i="3" s="1"/>
  <c r="F5" i="3"/>
  <c r="G5" i="3" s="1"/>
  <c r="F6" i="3"/>
  <c r="G6" i="3" s="1"/>
  <c r="F7" i="3"/>
  <c r="G7" i="3" s="1"/>
</calcChain>
</file>

<file path=xl/sharedStrings.xml><?xml version="1.0" encoding="utf-8"?>
<sst xmlns="http://schemas.openxmlformats.org/spreadsheetml/2006/main" count="71" uniqueCount="60">
  <si>
    <t>Tabela de Trodutos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</si>
  <si>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</si>
  <si>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</si>
  <si>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</si>
  <si>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</si>
  <si>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</si>
  <si>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</si>
  <si>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</si>
  <si>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</si>
  <si>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</si>
  <si>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</si>
  <si>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</si>
  <si>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</si>
  <si>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Funcionário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</si>
  <si>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</si>
  <si>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</si>
  <si>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</si>
  <si>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</si>
  <si>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</si>
  <si>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</si>
  <si>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</si>
  <si>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</si>
  <si>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</si>
  <si>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</si>
  <si>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</si>
  <si>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</si>
  <si>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</si>
  <si>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</si>
  <si>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</si>
  <si>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</si>
  <si>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</si>
  <si>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do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</si>
  <si>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</si>
  <si>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</si>
  <si>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</si>
  <si>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</si>
  <si>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</si>
  <si>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</si>
  <si>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</si>
  <si>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</si>
  <si>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</si>
  <si>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</si>
  <si>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</si>
  <si>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</si>
  <si>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</si>
  <si>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</si>
  <si>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experiencia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</si>
  <si>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</si>
  <si>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</si>
  <si>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</si>
  <si>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</si>
  <si>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</si>
  <si>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</si>
  <si>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Silva</t>
  </si>
  <si>
    <t>Ferrari Enzo</t>
  </si>
  <si>
    <t>Requisitos para ser contratado</t>
  </si>
  <si>
    <t>Ter idade igual ou superior a 18</t>
  </si>
  <si>
    <t>Ter ensino médio completo</t>
  </si>
  <si>
    <t>Ter curso de vendedor</t>
  </si>
  <si>
    <t>Ter no mínimo 3 anos de 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</si>
</sst>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0"/>
      <name val="Arial"/>
    </font>
    <font>
      <sz val="11"/>
      <color theme="1"/>
      <name val="Arial"/>
    </font>
    <font>
      <b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4" fontId="0" fillId="0" borderId="0" xfId="0" applyNumberFormat="1"/>
    <xf numFmtId="0" fontId="0" fillId="2" borderId="0" xfId="0" applyFill="1"/>
    <xf numFmtId="44" fontId="0" fillId="2" borderId="0" xfId="0" applyNumberFormat="1" applyFill="1"/>
    <xf numFmtId="0" fontId="0" fillId="0" borderId="0" xfId="0" applyNumberFormat="1"/>
    <xf numFmtId="0" fontId="0" fillId="0" borderId="0" xfId="0" applyAlignment="1">
      <alignment horizontal="center"/>
    </xf>
    <xf numFmtId="0" fontId="2" fillId="4" borderId="0" xfId="0" applyFont="1" applyFill="1"/>
    <xf numFmtId="164" fontId="0" fillId="0" borderId="0" xfId="0" applyNumberFormat="1"/>
    <xf numFmtId="0" fontId="0" fillId="7" borderId="0" xfId="0" applyFill="1"/>
    <xf numFmtId="0" fontId="4" fillId="0" borderId="0" xfId="0" applyFont="1"/>
    <xf numFmtId="44" fontId="4" fillId="0" borderId="0" xfId="0" applyNumberFormat="1" applyFont="1"/>
    <xf numFmtId="0" fontId="0" fillId="9" borderId="0" xfId="0" applyFill="1"/>
    <xf numFmtId="0" fontId="7" fillId="0" borderId="0" xfId="0" applyFont="1" applyBorder="1"/>
    <xf numFmtId="0" fontId="7" fillId="0" borderId="1" xfId="0" applyFont="1" applyBorder="1"/>
    <xf numFmtId="0" fontId="6" fillId="8" borderId="2" xfId="0" applyFont="1" applyFill="1" applyBorder="1"/>
    <xf numFmtId="0" fontId="8" fillId="0" borderId="0" xfId="0" applyFont="1" applyBorder="1"/>
    <xf numFmtId="0" fontId="8" fillId="0" borderId="1" xfId="0" applyFont="1" applyBorder="1"/>
    <xf numFmtId="0" fontId="0" fillId="10" borderId="0" xfId="0" applyFill="1"/>
    <xf numFmtId="0" fontId="3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5">
    <dxf>
      <font>
        <b/>
        <name val="Arial"/>
      </font>
      <numFmt numFmtId="0" formatCode="General"/>
    </dxf>
    <dxf>
      <font>
        <b val="0"/>
        <name val="Arial"/>
      </font>
    </dxf>
    <dxf>
      <font>
        <b val="0"/>
        <name val="Arial"/>
      </font>
    </dxf>
    <dxf>
      <font>
        <b val="0"/>
        <name val="Arial"/>
      </font>
    </dxf>
    <dxf>
      <font>
        <b val="0"/>
        <name val="Arial"/>
      </font>
    </dxf>
    <dxf>
      <font>
        <b val="0"/>
        <name val="Arial"/>
      </font>
    </dxf>
    <dxf>
      <border>
        <bottom style="medium">
          <color rgb="FF000000"/>
        </bottom>
      </border>
    </dxf>
    <dxf>
      <border>
        <bottom style="thin">
          <color rgb="FF000000"/>
        </bottom>
      </border>
    </dxf>
    <dxf>
      <font>
        <name val="Arial"/>
      </font>
    </dxf>
    <dxf>
      <font>
        <b val="0"/>
        <color theme="0"/>
        <name val="Arial"/>
      </font>
      <fill>
        <patternFill patternType="solid">
          <fgColor indexed="64"/>
          <bgColor theme="9"/>
        </patternFill>
      </fill>
    </dxf>
    <dxf>
      <font>
        <color theme="9"/>
      </font>
    </dxf>
    <dxf>
      <font>
        <color rgb="FFFF0000"/>
      </font>
    </dxf>
    <dxf>
      <numFmt numFmtId="0" formatCode="General"/>
      <alignment horizontal="center"/>
    </dxf>
    <dxf>
      <numFmt numFmtId="0" formatCode="General"/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DCEDD-E9F8-426C-9485-1062F99AA6CA}" name="Tabela2" displayName="Tabela2" ref="A2:E6" totalsRowShown="0" headerRowDxfId="24">
  <autoFilter ref="A2:E6" xr:uid="{E77DCEDD-E9F8-426C-9485-1062F99AA6CA}"/>
  <tableColumns count="5">
    <tableColumn id="1" xr3:uid="{D2CDE863-3F67-41EF-8213-BF98FCC6BF6A}" name="ID_Produto"/>
    <tableColumn id="2" xr3:uid="{3EE03323-D610-4EC4-9975-54B0ADB56045}" name="Tipo_de_Cafe"/>
    <tableColumn id="3" xr3:uid="{967695F2-011A-4A40-88F7-0AE85BFD3E64}" name="Tamanho"/>
    <tableColumn id="4" xr3:uid="{3851BEC7-2E4A-4860-BA6F-6C5F1B13F9B9}" name="Valor_unitario" dataDxfId="23"/>
    <tableColumn id="5" xr3:uid="{8D2A7EB5-14EC-4C4D-B5DA-B8B1D6786755}" name="Quantidad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1322A4-69FA-4BAF-AF6F-9FE20ECAB051}" name="Tabela6" displayName="Tabela6" ref="A2:D8" totalsRowShown="0" headerRowDxfId="22">
  <autoFilter ref="A2:D8" xr:uid="{371322A4-69FA-4BAF-AF6F-9FE20ECAB051}"/>
  <tableColumns count="4">
    <tableColumn id="1" xr3:uid="{C27ACE52-33B8-480A-A3E4-37C1C70C431B}" name="Funcionário" dataDxfId="21"/>
    <tableColumn id="2" xr3:uid="{45129811-B91B-482B-99EB-5495F7DB5337}" name="Produto" dataDxfId="20"/>
    <tableColumn id="3" xr3:uid="{CC739647-ACB3-4FF8-84AC-55425CE24C9A}" name="Vendas" dataDxfId="19"/>
    <tableColumn id="4" xr3:uid="{B913935E-84CD-4DF9-88A6-392D9F1C8EDB}" name="Resultado" dataDxfId="18">
      <calculatedColumnFormula>IF(C3&gt;5,"Ótimo",IF(C3=5,"Regular","Péssimo"))</calculatedColumn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A88DE-1783-49CB-AD94-05FC792C481E}" name="Tabela7" displayName="Tabela7" ref="A2:G7" totalsRowShown="0">
  <autoFilter ref="A2:G7" xr:uid="{FC7A88DE-1783-49CB-AD94-05FC792C481E}"/>
  <tableColumns count="7">
    <tableColumn id="1" xr3:uid="{65DE0D39-5C5E-4498-965B-FC9B502D7733}" name="RA"/>
    <tableColumn id="2" xr3:uid="{856C4E95-E9D2-447F-BD2E-579454E72387}" name="Nome do Aluno"/>
    <tableColumn id="3" xr3:uid="{370D3729-6AA6-448A-B116-E650A91F629D}" name="Nota 1 Trimestre"/>
    <tableColumn id="4" xr3:uid="{6C79B521-763F-4232-97AD-45B38C4CE107}" name="Nota 2 Trimestre"/>
    <tableColumn id="5" xr3:uid="{4FF3A296-7E27-4CDA-81EB-2751B410E8FE}" name="Nota 3 Trimestre"/>
    <tableColumn id="6" xr3:uid="{C4D76145-A49E-4B41-A86A-65A7D800A432}" name="Média Final" dataDxfId="13">
      <calculatedColumnFormula>AVERAGE(Tabela7[[#This Row],[Nota 1 Trimestre]:[Nota 3 Trimestre]])</calculatedColumnFormula>
    </tableColumn>
    <tableColumn id="7" xr3:uid="{D9FD06B2-CFC4-4553-BFC6-0180C0C89A14}" name="Resultado" dataDxfId="12">
      <calculatedColumnFormula>IF(F3&gt;=6,"Aprovado",IF(F3&lt;6,"Reprovado"))</calculatedColumnFormula>
    </tableColumn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85137-42B6-40B1-BE53-EFF8BE964DC4}" name="Tabela1" displayName="Tabela1" ref="A2:F7" totalsRowShown="0" headerRowDxfId="9" dataDxfId="8" headerRowBorderDxfId="6" tableBorderDxfId="7">
  <autoFilter ref="A2:F7" xr:uid="{98F85137-42B6-40B1-BE53-EFF8BE964DC4}"/>
  <tableColumns count="6">
    <tableColumn id="1" xr3:uid="{F98ECB7F-1FFA-4344-B38B-EF5187AD1530}" name="Nome" dataDxfId="5"/>
    <tableColumn id="2" xr3:uid="{088C9CF3-1271-4DAA-936F-3F1152F091D5}" name="idade" dataDxfId="4"/>
    <tableColumn id="3" xr3:uid="{C54F16DF-FCA1-4CBA-8D46-CCBD3D655F79}" name="Ensino médio" dataDxfId="3"/>
    <tableColumn id="4" xr3:uid="{74BD9787-B9F6-4ABB-8941-4E7C2FF5AF83}" name="Curso Técnico" dataDxfId="2"/>
    <tableColumn id="5" xr3:uid="{C71AADC9-E7FA-477A-BCDD-0C85E2FD05F1}" name="Anos de experiencia na área" dataDxfId="1"/>
    <tableColumn id="6" xr3:uid="{D6158E6E-360A-471F-A152-52AB0F0981A4}" name="situação" dataDxfId="0">
      <calculatedColumnFormula>IF(AND(B3&gt;=18,C3="Sim",D3="Sim",E3&gt;=3),"Apto","Não Apto")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12" sqref="A12"/>
    </sheetView>
  </sheetViews>
  <sheetFormatPr defaultRowHeight="15"/>
  <cols>
    <col min="1" max="1" width="13.7109375" customWidth="1"/>
    <col min="2" max="2" width="15.7109375" customWidth="1"/>
    <col min="3" max="3" width="11.85546875" customWidth="1"/>
    <col min="4" max="4" width="17.42578125" style="1" customWidth="1"/>
    <col min="5" max="5" width="14" customWidth="1"/>
  </cols>
  <sheetData>
    <row r="1" spans="1:5">
      <c r="A1" s="19" t="s">
        <v>0</v>
      </c>
      <c r="B1" s="19"/>
      <c r="C1" s="19"/>
      <c r="D1" s="19"/>
      <c r="E1" s="19"/>
    </row>
    <row r="2" spans="1: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spans="1:5">
      <c r="A3">
        <v>2</v>
      </c>
      <c r="B3" t="s">
        <v>6</v>
      </c>
      <c r="C3" t="s">
        <v>7</v>
      </c>
      <c r="D3" s="1">
        <v>29.79</v>
      </c>
      <c r="E3">
        <v>20</v>
      </c>
    </row>
    <row r="4" spans="1:5">
      <c r="A4">
        <v>1</v>
      </c>
      <c r="B4" t="s">
        <v>6</v>
      </c>
      <c r="C4" t="s">
        <v>7</v>
      </c>
      <c r="D4" s="1">
        <v>3.89</v>
      </c>
      <c r="E4">
        <v>10</v>
      </c>
    </row>
    <row r="5" spans="1:5">
      <c r="A5">
        <v>3</v>
      </c>
      <c r="B5" t="s">
        <v>8</v>
      </c>
      <c r="C5" t="s">
        <v>9</v>
      </c>
      <c r="D5" s="1">
        <v>3.83</v>
      </c>
      <c r="E5">
        <v>30</v>
      </c>
    </row>
    <row r="6" spans="1:5">
      <c r="A6">
        <v>4</v>
      </c>
      <c r="B6" t="s">
        <v>10</v>
      </c>
      <c r="C6" t="s">
        <v>11</v>
      </c>
      <c r="D6" s="1">
        <v>13.43</v>
      </c>
      <c r="E6">
        <v>40</v>
      </c>
    </row>
    <row r="7" spans="1:5">
      <c r="D7" s="10"/>
    </row>
    <row r="8" spans="1:5">
      <c r="E8" s="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CB40-D7F3-4FC1-8993-DDC06FFC6D56}">
  <dimension ref="A1:E8"/>
  <sheetViews>
    <sheetView workbookViewId="0">
      <selection activeCell="D4" sqref="D4"/>
    </sheetView>
  </sheetViews>
  <sheetFormatPr defaultRowHeight="15"/>
  <cols>
    <col min="1" max="1" width="14.7109375" customWidth="1"/>
    <col min="2" max="2" width="12" customWidth="1"/>
    <col min="3" max="3" width="11.28515625" customWidth="1"/>
    <col min="4" max="4" width="21.85546875" customWidth="1"/>
  </cols>
  <sheetData>
    <row r="1" spans="1:5">
      <c r="A1" s="20" t="s">
        <v>12</v>
      </c>
      <c r="B1" s="21"/>
      <c r="C1" s="21"/>
      <c r="D1" s="21"/>
    </row>
    <row r="2" spans="1:5">
      <c r="A2" s="6" t="s">
        <v>13</v>
      </c>
      <c r="B2" s="6" t="s">
        <v>14</v>
      </c>
      <c r="C2" s="6" t="s">
        <v>15</v>
      </c>
      <c r="D2" s="6" t="s">
        <v>16</v>
      </c>
    </row>
    <row r="3" spans="1:5">
      <c r="A3" s="5" t="s">
        <v>17</v>
      </c>
      <c r="B3" s="5" t="s">
        <v>18</v>
      </c>
      <c r="C3" s="5">
        <v>8</v>
      </c>
      <c r="D3" s="5" t="str">
        <f t="shared" ref="D3:D8" si="0">IF(C3&gt;5,"Ótimo",IF(C3=5,"Regular","Péssimo"))</f>
        <v>Ótimo</v>
      </c>
    </row>
    <row r="4" spans="1:5">
      <c r="A4" s="5" t="s">
        <v>19</v>
      </c>
      <c r="B4" s="5" t="s">
        <v>20</v>
      </c>
      <c r="C4" s="5">
        <v>5</v>
      </c>
      <c r="D4" s="5" t="str">
        <f>IF(C4&gt;5,"Ótimo",IF(C4=5,"Regular","Péssimo"))</f>
        <v>Regular</v>
      </c>
    </row>
    <row r="5" spans="1:5">
      <c r="A5" s="5" t="s">
        <v>21</v>
      </c>
      <c r="B5" s="5" t="s">
        <v>22</v>
      </c>
      <c r="C5" s="5">
        <v>9</v>
      </c>
      <c r="D5" s="5" t="str">
        <f t="shared" si="0"/>
        <v>Ótimo</v>
      </c>
    </row>
    <row r="6" spans="1:5">
      <c r="A6" s="5" t="s">
        <v>23</v>
      </c>
      <c r="B6" s="5" t="s">
        <v>24</v>
      </c>
      <c r="C6" s="5">
        <v>4</v>
      </c>
      <c r="D6" s="5" t="str">
        <f t="shared" si="0"/>
        <v>Péssimo</v>
      </c>
    </row>
    <row r="7" spans="1:5">
      <c r="A7" s="5" t="s">
        <v>25</v>
      </c>
      <c r="B7" s="5" t="s">
        <v>26</v>
      </c>
      <c r="C7" s="5">
        <v>6</v>
      </c>
      <c r="D7" s="5" t="str">
        <f t="shared" si="0"/>
        <v>Ótimo</v>
      </c>
      <c r="E7" s="9"/>
    </row>
    <row r="8" spans="1:5">
      <c r="A8" s="5" t="s">
        <v>27</v>
      </c>
      <c r="B8" s="5" t="s">
        <v>28</v>
      </c>
      <c r="C8" s="5">
        <v>3</v>
      </c>
      <c r="D8" s="5" t="str">
        <f t="shared" si="0"/>
        <v>Péssimo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678E-A994-41F9-AF4E-2D98836032B8}">
  <dimension ref="A1:H11"/>
  <sheetViews>
    <sheetView tabSelected="1" workbookViewId="0">
      <selection activeCell="C3" sqref="C3:G7"/>
    </sheetView>
  </sheetViews>
  <sheetFormatPr defaultRowHeight="15"/>
  <cols>
    <col min="1" max="1" width="15" bestFit="1" customWidth="1"/>
    <col min="2" max="2" width="19.5703125" customWidth="1"/>
    <col min="3" max="3" width="19.7109375" customWidth="1"/>
    <col min="4" max="4" width="20.42578125" customWidth="1"/>
    <col min="5" max="5" width="19.7109375" customWidth="1"/>
    <col min="6" max="6" width="15.140625" customWidth="1"/>
    <col min="7" max="7" width="13.42578125" customWidth="1"/>
  </cols>
  <sheetData>
    <row r="1" spans="1:8" ht="15.75">
      <c r="A1" s="18" t="s">
        <v>29</v>
      </c>
      <c r="B1" s="18"/>
      <c r="C1" s="18"/>
      <c r="D1" s="18"/>
      <c r="E1" s="18"/>
      <c r="F1" s="18"/>
      <c r="G1" s="18"/>
    </row>
    <row r="2" spans="1:8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16</v>
      </c>
    </row>
    <row r="3" spans="1:8">
      <c r="A3">
        <v>2001</v>
      </c>
      <c r="B3" t="s">
        <v>36</v>
      </c>
      <c r="C3">
        <v>5</v>
      </c>
      <c r="D3">
        <v>6</v>
      </c>
      <c r="E3">
        <v>8</v>
      </c>
      <c r="F3" s="7">
        <f>AVERAGE(Tabela7[[#This Row],[Nota 1 Trimestre]:[Nota 3 Trimestre]])</f>
        <v>6.333333333333333</v>
      </c>
      <c r="G3" s="5" t="str">
        <f>IF(F3&gt;=6,"Aprovado",IF(F3&lt;6,"Reprovado"))</f>
        <v>Aprovado</v>
      </c>
    </row>
    <row r="4" spans="1:8">
      <c r="A4">
        <v>2002</v>
      </c>
      <c r="B4" t="s">
        <v>37</v>
      </c>
      <c r="C4">
        <v>10</v>
      </c>
      <c r="D4">
        <v>7</v>
      </c>
      <c r="E4">
        <v>8</v>
      </c>
      <c r="F4" s="7">
        <f>AVERAGE(Tabela7[[#This Row],[Nota 1 Trimestre]:[Nota 3 Trimestre]])</f>
        <v>8.3333333333333339</v>
      </c>
      <c r="G4" s="5" t="str">
        <f t="shared" ref="G3:G7" si="0">IF(F4&gt;=6,"Aprovado",IF(F4&lt;6,"Reprovado"))</f>
        <v>Aprovado</v>
      </c>
    </row>
    <row r="5" spans="1:8">
      <c r="A5">
        <v>2003</v>
      </c>
      <c r="B5" t="s">
        <v>38</v>
      </c>
      <c r="C5">
        <v>5</v>
      </c>
      <c r="D5">
        <v>2</v>
      </c>
      <c r="E5" s="8">
        <v>8</v>
      </c>
      <c r="F5">
        <f>AVERAGE(Tabela7[[#This Row],[Nota 1 Trimestre]:[Nota 3 Trimestre]])</f>
        <v>5</v>
      </c>
      <c r="G5" s="5" t="str">
        <f t="shared" si="0"/>
        <v>Reprovado</v>
      </c>
    </row>
    <row r="6" spans="1:8">
      <c r="A6">
        <v>2004</v>
      </c>
      <c r="B6" t="s">
        <v>39</v>
      </c>
      <c r="C6">
        <v>2</v>
      </c>
      <c r="D6">
        <v>1</v>
      </c>
      <c r="E6">
        <v>3</v>
      </c>
      <c r="F6">
        <f>AVERAGE(Tabela7[[#This Row],[Nota 1 Trimestre]:[Nota 3 Trimestre]])</f>
        <v>2</v>
      </c>
      <c r="G6" s="5" t="str">
        <f t="shared" si="0"/>
        <v>Reprovado</v>
      </c>
    </row>
    <row r="7" spans="1:8">
      <c r="A7">
        <v>2005</v>
      </c>
      <c r="B7" t="s">
        <v>40</v>
      </c>
      <c r="C7">
        <v>4</v>
      </c>
      <c r="D7">
        <v>7</v>
      </c>
      <c r="E7">
        <v>8</v>
      </c>
      <c r="F7" s="7">
        <f>AVERAGE(Tabela7[[#This Row],[Nota 1 Trimestre]:[Nota 3 Trimestre]])</f>
        <v>6.333333333333333</v>
      </c>
      <c r="G7" s="5" t="str">
        <f t="shared" si="0"/>
        <v>Aprovado</v>
      </c>
    </row>
    <row r="11" spans="1:8">
      <c r="H11" s="9"/>
    </row>
  </sheetData>
  <mergeCells count="1">
    <mergeCell ref="A1:G1"/>
  </mergeCells>
  <conditionalFormatting sqref="C3:F7">
    <cfRule type="cellIs" dxfId="17" priority="4" operator="greaterThanOrEqual">
      <formula>6</formula>
    </cfRule>
  </conditionalFormatting>
  <conditionalFormatting sqref="C3:F7">
    <cfRule type="cellIs" dxfId="16" priority="3" operator="lessThan">
      <formula>6</formula>
    </cfRule>
  </conditionalFormatting>
  <conditionalFormatting sqref="G3:G7">
    <cfRule type="containsText" dxfId="15" priority="2" operator="containsText" text="Aprovado">
      <formula>NOT(ISERROR(SEARCH("Aprovado",G3)))</formula>
    </cfRule>
  </conditionalFormatting>
  <conditionalFormatting sqref="C3:G7">
    <cfRule type="containsText" dxfId="14" priority="1" operator="containsText" text="Reprovado">
      <formula>NOT(ISERROR(SEARCH("Reprovado",C3)))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434F-DC39-4B44-91C4-A30A44ACB0E1}">
  <dimension ref="A1:F15"/>
  <sheetViews>
    <sheetView workbookViewId="0">
      <selection activeCell="A16" sqref="A16"/>
    </sheetView>
  </sheetViews>
  <sheetFormatPr defaultRowHeight="15"/>
  <cols>
    <col min="1" max="1" width="22.42578125" customWidth="1"/>
    <col min="2" max="2" width="8.42578125" customWidth="1"/>
    <col min="3" max="3" width="16.42578125" customWidth="1"/>
    <col min="4" max="4" width="18.42578125" bestFit="1" customWidth="1"/>
    <col min="5" max="5" width="30.42578125" customWidth="1"/>
    <col min="6" max="6" width="15.7109375" customWidth="1"/>
  </cols>
  <sheetData>
    <row r="1" spans="1:6">
      <c r="A1" s="22" t="s">
        <v>41</v>
      </c>
      <c r="B1" s="23"/>
      <c r="C1" s="23"/>
      <c r="D1" s="23"/>
      <c r="E1" s="23"/>
      <c r="F1" s="23"/>
    </row>
    <row r="2" spans="1:6">
      <c r="A2" s="14" t="s">
        <v>42</v>
      </c>
      <c r="B2" s="14" t="s">
        <v>43</v>
      </c>
      <c r="C2" s="14" t="s">
        <v>44</v>
      </c>
      <c r="D2" s="14" t="s">
        <v>45</v>
      </c>
      <c r="E2" s="14" t="s">
        <v>46</v>
      </c>
      <c r="F2" s="14" t="s">
        <v>47</v>
      </c>
    </row>
    <row r="3" spans="1:6">
      <c r="A3" s="12" t="s">
        <v>48</v>
      </c>
      <c r="B3" s="12">
        <v>17</v>
      </c>
      <c r="C3" s="12" t="s">
        <v>49</v>
      </c>
      <c r="D3" s="12" t="s">
        <v>50</v>
      </c>
      <c r="E3" s="12">
        <v>1</v>
      </c>
      <c r="F3" s="15" t="str">
        <f>IF(AND(B3&gt;=18,C3="Sim",D3="Sim",E3&gt;=3),"Apto","Não Apto")</f>
        <v>Não Apto</v>
      </c>
    </row>
    <row r="4" spans="1:6">
      <c r="A4" s="12" t="s">
        <v>51</v>
      </c>
      <c r="B4" s="12">
        <v>24</v>
      </c>
      <c r="C4" s="12" t="s">
        <v>50</v>
      </c>
      <c r="D4" s="12" t="s">
        <v>50</v>
      </c>
      <c r="E4" s="12">
        <v>3</v>
      </c>
      <c r="F4" s="15" t="str">
        <f>IF(AND(B4&gt;=18,C4="Sim",D4="Sim",E4&gt;=3),"Apto","Não Apto")</f>
        <v>Apto</v>
      </c>
    </row>
    <row r="5" spans="1:6">
      <c r="A5" s="12" t="s">
        <v>52</v>
      </c>
      <c r="B5" s="12">
        <v>28</v>
      </c>
      <c r="C5" s="12" t="s">
        <v>50</v>
      </c>
      <c r="D5" s="12" t="s">
        <v>50</v>
      </c>
      <c r="E5" s="12">
        <v>4</v>
      </c>
      <c r="F5" s="15" t="str">
        <f>IF(AND(B5&gt;=18,C5="Sim",D5="Sim",E5&gt;=3),"Apto","Não Apto")</f>
        <v>Apto</v>
      </c>
    </row>
    <row r="6" spans="1:6">
      <c r="A6" s="12" t="s">
        <v>53</v>
      </c>
      <c r="B6" s="12">
        <v>18</v>
      </c>
      <c r="C6" s="12" t="s">
        <v>50</v>
      </c>
      <c r="D6" s="12" t="s">
        <v>49</v>
      </c>
      <c r="E6" s="12">
        <v>1</v>
      </c>
      <c r="F6" s="15" t="str">
        <f>IF(AND(B6&gt;=18,C6="Sim",D6="Sim",E6&gt;=3),"Apto","Não Apto")</f>
        <v>Não Apto</v>
      </c>
    </row>
    <row r="7" spans="1:6">
      <c r="A7" s="13" t="s">
        <v>54</v>
      </c>
      <c r="B7" s="13">
        <v>22</v>
      </c>
      <c r="C7" s="13" t="s">
        <v>50</v>
      </c>
      <c r="D7" s="13" t="s">
        <v>50</v>
      </c>
      <c r="E7" s="13">
        <v>2</v>
      </c>
      <c r="F7" s="16" t="str">
        <f>IF(AND(B7&gt;=18,C7="Sim",D7="Sim",E7&gt;=3),"Apto","Não Apto")</f>
        <v>Não Apto</v>
      </c>
    </row>
    <row r="11" spans="1:6" ht="15.75">
      <c r="A11" s="24" t="s">
        <v>55</v>
      </c>
      <c r="B11" s="24"/>
      <c r="C11" s="24"/>
    </row>
    <row r="12" spans="1:6">
      <c r="A12" s="11" t="s">
        <v>56</v>
      </c>
      <c r="B12" s="11"/>
      <c r="C12" s="11"/>
    </row>
    <row r="13" spans="1:6">
      <c r="A13" s="17" t="s">
        <v>57</v>
      </c>
      <c r="B13" s="17"/>
      <c r="C13" s="17"/>
    </row>
    <row r="14" spans="1:6">
      <c r="A14" s="11" t="s">
        <v>58</v>
      </c>
      <c r="B14" s="11"/>
      <c r="C14" s="11"/>
    </row>
    <row r="15" spans="1:6">
      <c r="A15" s="17" t="s">
        <v>59</v>
      </c>
      <c r="B15" s="17"/>
      <c r="C15" s="17"/>
    </row>
  </sheetData>
  <mergeCells count="2">
    <mergeCell ref="A1:F1"/>
    <mergeCell ref="A11:C11"/>
  </mergeCells>
  <conditionalFormatting sqref="F3:F7">
    <cfRule type="containsText" dxfId="11" priority="2" operator="containsText" text="Não Apto">
      <formula>NOT(ISERROR(SEARCH("Não Apto",F3)))</formula>
    </cfRule>
  </conditionalFormatting>
  <conditionalFormatting sqref="F3:F7">
    <cfRule type="beginsWith" dxfId="10" priority="1" operator="beginsWith" text="Apto">
      <formula>LEFT(F3,LEN("Apto"))="Apto"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2026-09-02T17:14:34Z</dcterms:created>
  <dcterms:modified xsi:type="dcterms:W3CDTF">2026-09-17T17:37:09Z</dcterms:modified>
  <cp:category/>
  <cp:contentStatus/>
</cp:coreProperties>
</file>